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020" activeTab="2"/>
  </bookViews>
  <sheets>
    <sheet name="Sales Data" sheetId="1" r:id="rId1"/>
    <sheet name="Analysis" sheetId="2" r:id="rId2"/>
    <sheet name="Dashboard" sheetId="3" r:id="rId3"/>
  </sheets>
  <definedNames>
    <definedName name="_xlnm._FilterDatabase" localSheetId="0" hidden="1">'Sales Data'!$A$1:$O$501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3" l="1"/>
  <c r="J5" i="3"/>
  <c r="L5" i="3"/>
  <c r="F5" i="3"/>
  <c r="D5" i="3"/>
  <c r="B5" i="3"/>
  <c r="D48" i="2"/>
  <c r="D49" i="2"/>
  <c r="D50" i="2"/>
  <c r="D51" i="2"/>
  <c r="D52" i="2"/>
  <c r="D53" i="2"/>
  <c r="D54" i="2"/>
  <c r="D55" i="2"/>
  <c r="D56" i="2"/>
  <c r="C48" i="2"/>
  <c r="C49" i="2"/>
  <c r="C50" i="2"/>
  <c r="C51" i="2"/>
  <c r="C52" i="2"/>
  <c r="C53" i="2"/>
  <c r="C54" i="2"/>
  <c r="C55" i="2"/>
  <c r="C56" i="2"/>
  <c r="D47" i="2"/>
  <c r="C47" i="2"/>
  <c r="B56" i="2"/>
  <c r="B55" i="2"/>
  <c r="B54" i="2"/>
  <c r="B53" i="2"/>
  <c r="B52" i="2"/>
  <c r="B51" i="2"/>
  <c r="B50" i="2"/>
  <c r="B49" i="2"/>
  <c r="B48" i="2"/>
  <c r="B47" i="2"/>
  <c r="B44" i="2"/>
  <c r="B45" i="2"/>
  <c r="B43" i="2"/>
  <c r="B30" i="2"/>
  <c r="B31" i="2"/>
  <c r="B32" i="2"/>
  <c r="B33" i="2"/>
  <c r="B34" i="2"/>
  <c r="B35" i="2"/>
  <c r="B36" i="2"/>
  <c r="B37" i="2"/>
  <c r="B38" i="2"/>
  <c r="B39" i="2"/>
  <c r="B40" i="2"/>
  <c r="B29" i="2"/>
  <c r="B18" i="2"/>
  <c r="B19" i="2"/>
  <c r="B20" i="2"/>
  <c r="B21" i="2"/>
  <c r="B22" i="2"/>
  <c r="B23" i="2"/>
  <c r="B24" i="2"/>
  <c r="B25" i="2"/>
  <c r="B26" i="2"/>
  <c r="B17" i="2"/>
  <c r="B12" i="2"/>
  <c r="B13" i="2"/>
  <c r="B14" i="2"/>
  <c r="B11" i="2"/>
  <c r="B5" i="2"/>
  <c r="B4" i="2"/>
  <c r="B3" i="2"/>
  <c r="B7" i="2" s="1"/>
  <c r="B2" i="2"/>
  <c r="B6" i="2" s="1"/>
  <c r="B1" i="2"/>
  <c r="R7" i="1"/>
  <c r="R6" i="1"/>
  <c r="R5" i="1"/>
  <c r="R4" i="1"/>
  <c r="R3" i="1"/>
</calcChain>
</file>

<file path=xl/sharedStrings.xml><?xml version="1.0" encoding="utf-8"?>
<sst xmlns="http://schemas.openxmlformats.org/spreadsheetml/2006/main" count="4086" uniqueCount="593">
  <si>
    <t>Order ID</t>
  </si>
  <si>
    <t>Order Date</t>
  </si>
  <si>
    <t>Customer</t>
  </si>
  <si>
    <t>Region</t>
  </si>
  <si>
    <t>Salesperson</t>
  </si>
  <si>
    <t>Customer Segment</t>
  </si>
  <si>
    <t>Product</t>
  </si>
  <si>
    <t>Category</t>
  </si>
  <si>
    <t>Quantity</t>
  </si>
  <si>
    <t>Unit Price</t>
  </si>
  <si>
    <t>Discount %</t>
  </si>
  <si>
    <t>Sales</t>
  </si>
  <si>
    <t>Cost</t>
  </si>
  <si>
    <t>Profit</t>
  </si>
  <si>
    <t>Payment Method</t>
  </si>
  <si>
    <t>ORD-10059</t>
  </si>
  <si>
    <t>Vertex Enterprises</t>
  </si>
  <si>
    <t>West</t>
  </si>
  <si>
    <t>Aarav</t>
  </si>
  <si>
    <t>Small Business</t>
  </si>
  <si>
    <t>Keyboard</t>
  </si>
  <si>
    <t>Accessories</t>
  </si>
  <si>
    <t>Cash</t>
  </si>
  <si>
    <t>ORD-10069</t>
  </si>
  <si>
    <t>BrightEdge Pvt Ltd</t>
  </si>
  <si>
    <t>Vikram</t>
  </si>
  <si>
    <t>Consumer</t>
  </si>
  <si>
    <t>Credit Card</t>
  </si>
  <si>
    <t>ORD-10118</t>
  </si>
  <si>
    <t>NextGen Systems</t>
  </si>
  <si>
    <t>South</t>
  </si>
  <si>
    <t>Ishita</t>
  </si>
  <si>
    <t>Corporate</t>
  </si>
  <si>
    <t>Webcam</t>
  </si>
  <si>
    <t>ORD-10098</t>
  </si>
  <si>
    <t>Sunrise Associates</t>
  </si>
  <si>
    <t>Meera</t>
  </si>
  <si>
    <t>ORD-10350</t>
  </si>
  <si>
    <t>MetroMart</t>
  </si>
  <si>
    <t>North</t>
  </si>
  <si>
    <t>Diya</t>
  </si>
  <si>
    <t>Office Chair</t>
  </si>
  <si>
    <t>Furniture</t>
  </si>
  <si>
    <t>Bank Transfer</t>
  </si>
  <si>
    <t>ORD-10114</t>
  </si>
  <si>
    <t>GreenLeaf Traders</t>
  </si>
  <si>
    <t>Rohan</t>
  </si>
  <si>
    <t>ORD-10440</t>
  </si>
  <si>
    <t>East</t>
  </si>
  <si>
    <t>Kabir</t>
  </si>
  <si>
    <t>ORD-10152</t>
  </si>
  <si>
    <t>BluePeak Retail</t>
  </si>
  <si>
    <t>Laptop</t>
  </si>
  <si>
    <t>Electronics</t>
  </si>
  <si>
    <t>ORD-10226</t>
  </si>
  <si>
    <t>ORD-10055</t>
  </si>
  <si>
    <t>ORD-10140</t>
  </si>
  <si>
    <t>Ananya</t>
  </si>
  <si>
    <t>Debit Card</t>
  </si>
  <si>
    <t>ORD-10176</t>
  </si>
  <si>
    <t>DigitalHub</t>
  </si>
  <si>
    <t>ORD-10238</t>
  </si>
  <si>
    <t>Headset</t>
  </si>
  <si>
    <t>ORD-10407</t>
  </si>
  <si>
    <t>Tablet</t>
  </si>
  <si>
    <t>ORD-10167</t>
  </si>
  <si>
    <t>ORD-10126</t>
  </si>
  <si>
    <t>CloudNine Services</t>
  </si>
  <si>
    <t>ORD-10379</t>
  </si>
  <si>
    <t>PrimeOffice Supplies</t>
  </si>
  <si>
    <t>ORD-10045</t>
  </si>
  <si>
    <t>ORD-10499</t>
  </si>
  <si>
    <t>UrbanDesk Co.</t>
  </si>
  <si>
    <t>ORD-10058</t>
  </si>
  <si>
    <t>UPI</t>
  </si>
  <si>
    <t>ORD-10242</t>
  </si>
  <si>
    <t>ORD-10267</t>
  </si>
  <si>
    <t>Monitor</t>
  </si>
  <si>
    <t>ORD-10154</t>
  </si>
  <si>
    <t>OakTree Business</t>
  </si>
  <si>
    <t>ORD-10214</t>
  </si>
  <si>
    <t>ORD-10432</t>
  </si>
  <si>
    <t>Mouse</t>
  </si>
  <si>
    <t>ORD-10482</t>
  </si>
  <si>
    <t>ORD-10079</t>
  </si>
  <si>
    <t>ORD-10120</t>
  </si>
  <si>
    <t>Desk</t>
  </si>
  <si>
    <t>ORD-10080</t>
  </si>
  <si>
    <t>SmartCore Ltd.</t>
  </si>
  <si>
    <t>ORD-10122</t>
  </si>
  <si>
    <t>ORD-10134</t>
  </si>
  <si>
    <t>Apex Infotech</t>
  </si>
  <si>
    <t>ORD-10446</t>
  </si>
  <si>
    <t>ORD-10260</t>
  </si>
  <si>
    <t>ORD-10341</t>
  </si>
  <si>
    <t>ORD-10046</t>
  </si>
  <si>
    <t>TechNova Solutions</t>
  </si>
  <si>
    <t>ORD-10357</t>
  </si>
  <si>
    <t>ORD-10030</t>
  </si>
  <si>
    <t>ORD-10402</t>
  </si>
  <si>
    <t>ORD-10465</t>
  </si>
  <si>
    <t>ORD-10452</t>
  </si>
  <si>
    <t>ORD-10181</t>
  </si>
  <si>
    <t>ORD-10422</t>
  </si>
  <si>
    <t>ORD-10145</t>
  </si>
  <si>
    <t>ORD-10362</t>
  </si>
  <si>
    <t>ORD-10174</t>
  </si>
  <si>
    <t>Printer</t>
  </si>
  <si>
    <t>Office Equipment</t>
  </si>
  <si>
    <t>ORD-10333</t>
  </si>
  <si>
    <t>ORD-10360</t>
  </si>
  <si>
    <t>ORD-10201</t>
  </si>
  <si>
    <t>ORD-10307</t>
  </si>
  <si>
    <t>ORD-10013</t>
  </si>
  <si>
    <t>ORD-10484</t>
  </si>
  <si>
    <t>ORD-10483</t>
  </si>
  <si>
    <t>ORD-10321</t>
  </si>
  <si>
    <t>ORD-10158</t>
  </si>
  <si>
    <t>ORD-10264</t>
  </si>
  <si>
    <t>ORD-10011</t>
  </si>
  <si>
    <t>ORD-10445</t>
  </si>
  <si>
    <t>ORD-10018</t>
  </si>
  <si>
    <t>ORD-10337</t>
  </si>
  <si>
    <t>ORD-10019</t>
  </si>
  <si>
    <t>ORD-10123</t>
  </si>
  <si>
    <t>ORD-10040</t>
  </si>
  <si>
    <t>ORD-10466</t>
  </si>
  <si>
    <t>ORD-10353</t>
  </si>
  <si>
    <t>ORD-10476</t>
  </si>
  <si>
    <t>ORD-10198</t>
  </si>
  <si>
    <t>ORD-10417</t>
  </si>
  <si>
    <t>ORD-10475</t>
  </si>
  <si>
    <t>ORD-10220</t>
  </si>
  <si>
    <t>ORD-10281</t>
  </si>
  <si>
    <t>ORD-10066</t>
  </si>
  <si>
    <t>ORD-10204</t>
  </si>
  <si>
    <t>ORD-10312</t>
  </si>
  <si>
    <t>ORD-10203</t>
  </si>
  <si>
    <t>ORD-10351</t>
  </si>
  <si>
    <t>ORD-10373</t>
  </si>
  <si>
    <t>ORD-10469</t>
  </si>
  <si>
    <t>ORD-10355</t>
  </si>
  <si>
    <t>ORD-10435</t>
  </si>
  <si>
    <t>ORD-10105</t>
  </si>
  <si>
    <t>ORD-10052</t>
  </si>
  <si>
    <t>ORD-10270</t>
  </si>
  <si>
    <t>ORD-10184</t>
  </si>
  <si>
    <t>ORD-10186</t>
  </si>
  <si>
    <t>ORD-10163</t>
  </si>
  <si>
    <t>ORD-10375</t>
  </si>
  <si>
    <t>ORD-10257</t>
  </si>
  <si>
    <t>ORD-10130</t>
  </si>
  <si>
    <t>ORD-10359</t>
  </si>
  <si>
    <t>ORD-10348</t>
  </si>
  <si>
    <t>ORD-10042</t>
  </si>
  <si>
    <t>ORD-10129</t>
  </si>
  <si>
    <t>ORD-10183</t>
  </si>
  <si>
    <t>ORD-10471</t>
  </si>
  <si>
    <t>ORD-10002</t>
  </si>
  <si>
    <t>ORD-10128</t>
  </si>
  <si>
    <t>ORD-10094</t>
  </si>
  <si>
    <t>ORD-10005</t>
  </si>
  <si>
    <t>ORD-10089</t>
  </si>
  <si>
    <t>ORD-10239</t>
  </si>
  <si>
    <t>ORD-10247</t>
  </si>
  <si>
    <t>ORD-10185</t>
  </si>
  <si>
    <t>ORD-10395</t>
  </si>
  <si>
    <t>ORD-10039</t>
  </si>
  <si>
    <t>ORD-10308</t>
  </si>
  <si>
    <t>ORD-10261</t>
  </si>
  <si>
    <t>ORD-10391</t>
  </si>
  <si>
    <t>ORD-10354</t>
  </si>
  <si>
    <t>ORD-10050</t>
  </si>
  <si>
    <t>ORD-10171</t>
  </si>
  <si>
    <t>ORD-10113</t>
  </si>
  <si>
    <t>ORD-10262</t>
  </si>
  <si>
    <t>ORD-10067</t>
  </si>
  <si>
    <t>ORD-10358</t>
  </si>
  <si>
    <t>ORD-10217</t>
  </si>
  <si>
    <t>ORD-10053</t>
  </si>
  <si>
    <t>ORD-10044</t>
  </si>
  <si>
    <t>ORD-10335</t>
  </si>
  <si>
    <t>ORD-10310</t>
  </si>
  <si>
    <t>ORD-10037</t>
  </si>
  <si>
    <t>ORD-10084</t>
  </si>
  <si>
    <t>ORD-10012</t>
  </si>
  <si>
    <t>ORD-10218</t>
  </si>
  <si>
    <t>ORD-10500</t>
  </si>
  <si>
    <t>ORD-10313</t>
  </si>
  <si>
    <t>ORD-10277</t>
  </si>
  <si>
    <t>ORD-10463</t>
  </si>
  <si>
    <t>ORD-10347</t>
  </si>
  <si>
    <t>ORD-10001</t>
  </si>
  <si>
    <t>ORD-10125</t>
  </si>
  <si>
    <t>ORD-10295</t>
  </si>
  <si>
    <t>ORD-10142</t>
  </si>
  <si>
    <t>ORD-10164</t>
  </si>
  <si>
    <t>ORD-10139</t>
  </si>
  <si>
    <t>ORD-10329</t>
  </si>
  <si>
    <t>ORD-10199</t>
  </si>
  <si>
    <t>ORD-10489</t>
  </si>
  <si>
    <t>ORD-10306</t>
  </si>
  <si>
    <t>ORD-10292</t>
  </si>
  <si>
    <t>ORD-10403</t>
  </si>
  <si>
    <t>ORD-10433</t>
  </si>
  <si>
    <t>ORD-10075</t>
  </si>
  <si>
    <t>ORD-10342</t>
  </si>
  <si>
    <t>ORD-10459</t>
  </si>
  <si>
    <t>ORD-10447</t>
  </si>
  <si>
    <t>ORD-10437</t>
  </si>
  <si>
    <t>ORD-10026</t>
  </si>
  <si>
    <t>ORD-10303</t>
  </si>
  <si>
    <t>ORD-10318</t>
  </si>
  <si>
    <t>ORD-10232</t>
  </si>
  <si>
    <t>ORD-10048</t>
  </si>
  <si>
    <t>ORD-10464</t>
  </si>
  <si>
    <t>ORD-10495</t>
  </si>
  <si>
    <t>ORD-10190</t>
  </si>
  <si>
    <t>ORD-10323</t>
  </si>
  <si>
    <t>ORD-10380</t>
  </si>
  <si>
    <t>ORD-10230</t>
  </si>
  <si>
    <t>ORD-10168</t>
  </si>
  <si>
    <t>ORD-10178</t>
  </si>
  <si>
    <t>ORD-10331</t>
  </si>
  <si>
    <t>ORD-10299</t>
  </si>
  <si>
    <t>ORD-10233</t>
  </si>
  <si>
    <t>ORD-10259</t>
  </si>
  <si>
    <t>ORD-10197</t>
  </si>
  <si>
    <t>ORD-10406</t>
  </si>
  <si>
    <t>ORD-10033</t>
  </si>
  <si>
    <t>ORD-10485</t>
  </si>
  <si>
    <t>ORD-10224</t>
  </si>
  <si>
    <t>ORD-10250</t>
  </si>
  <si>
    <t>ORD-10169</t>
  </si>
  <si>
    <t>ORD-10453</t>
  </si>
  <si>
    <t>ORD-10343</t>
  </si>
  <si>
    <t>ORD-10269</t>
  </si>
  <si>
    <t>ORD-10060</t>
  </si>
  <si>
    <t>ORD-10015</t>
  </si>
  <si>
    <t>ORD-10099</t>
  </si>
  <si>
    <t>ORD-10092</t>
  </si>
  <si>
    <t>ORD-10389</t>
  </si>
  <si>
    <t>ORD-10408</t>
  </si>
  <si>
    <t>ORD-10200</t>
  </si>
  <si>
    <t>ORD-10352</t>
  </si>
  <si>
    <t>ORD-10414</t>
  </si>
  <si>
    <t>ORD-10370</t>
  </si>
  <si>
    <t>ORD-10462</t>
  </si>
  <si>
    <t>ORD-10401</t>
  </si>
  <si>
    <t>ORD-10480</t>
  </si>
  <si>
    <t>ORD-10409</t>
  </si>
  <si>
    <t>ORD-10196</t>
  </si>
  <si>
    <t>ORD-10014</t>
  </si>
  <si>
    <t>ORD-10062</t>
  </si>
  <si>
    <t>ORD-10412</t>
  </si>
  <si>
    <t>ORD-10157</t>
  </si>
  <si>
    <t>ORD-10215</t>
  </si>
  <si>
    <t>ORD-10377</t>
  </si>
  <si>
    <t>ORD-10363</t>
  </si>
  <si>
    <t>ORD-10284</t>
  </si>
  <si>
    <t>ORD-10294</t>
  </si>
  <si>
    <t>ORD-10162</t>
  </si>
  <si>
    <t>ORD-10273</t>
  </si>
  <si>
    <t>ORD-10022</t>
  </si>
  <si>
    <t>ORD-10325</t>
  </si>
  <si>
    <t>ORD-10474</t>
  </si>
  <si>
    <t>ORD-10104</t>
  </si>
  <si>
    <t>ORD-10336</t>
  </si>
  <si>
    <t>ORD-10085</t>
  </si>
  <si>
    <t>ORD-10023</t>
  </si>
  <si>
    <t>ORD-10025</t>
  </si>
  <si>
    <t>ORD-10251</t>
  </si>
  <si>
    <t>ORD-10244</t>
  </si>
  <si>
    <t>ORD-10136</t>
  </si>
  <si>
    <t>ORD-10036</t>
  </si>
  <si>
    <t>ORD-10138</t>
  </si>
  <si>
    <t>ORD-10095</t>
  </si>
  <si>
    <t>ORD-10241</t>
  </si>
  <si>
    <t>ORD-10107</t>
  </si>
  <si>
    <t>ORD-10097</t>
  </si>
  <si>
    <t>ORD-10193</t>
  </si>
  <si>
    <t>ORD-10009</t>
  </si>
  <si>
    <t>ORD-10385</t>
  </si>
  <si>
    <t>ORD-10170</t>
  </si>
  <si>
    <t>ORD-10254</t>
  </si>
  <si>
    <t>ORD-10141</t>
  </si>
  <si>
    <t>ORD-10027</t>
  </si>
  <si>
    <t>ORD-10246</t>
  </si>
  <si>
    <t>ORD-10111</t>
  </si>
  <si>
    <t>ORD-10010</t>
  </si>
  <si>
    <t>ORD-10338</t>
  </si>
  <si>
    <t>ORD-10255</t>
  </si>
  <si>
    <t>ORD-10392</t>
  </si>
  <si>
    <t>ORD-10376</t>
  </si>
  <si>
    <t>ORD-10305</t>
  </si>
  <si>
    <t>ORD-10133</t>
  </si>
  <si>
    <t>ORD-10077</t>
  </si>
  <si>
    <t>ORD-10434</t>
  </si>
  <si>
    <t>ORD-10088</t>
  </si>
  <si>
    <t>ORD-10427</t>
  </si>
  <si>
    <t>ORD-10144</t>
  </si>
  <si>
    <t>ORD-10028</t>
  </si>
  <si>
    <t>ORD-10180</t>
  </si>
  <si>
    <t>ORD-10096</t>
  </si>
  <si>
    <t>ORD-10365</t>
  </si>
  <si>
    <t>ORD-10106</t>
  </si>
  <si>
    <t>ORD-10374</t>
  </si>
  <si>
    <t>ORD-10245</t>
  </si>
  <si>
    <t>ORD-10438</t>
  </si>
  <si>
    <t>ORD-10236</t>
  </si>
  <si>
    <t>ORD-10468</t>
  </si>
  <si>
    <t>ORD-10237</t>
  </si>
  <si>
    <t>ORD-10054</t>
  </si>
  <si>
    <t>ORD-10398</t>
  </si>
  <si>
    <t>ORD-10430</t>
  </si>
  <si>
    <t>ORD-10004</t>
  </si>
  <si>
    <t>ORD-10339</t>
  </si>
  <si>
    <t>ORD-10131</t>
  </si>
  <si>
    <t>ORD-10397</t>
  </si>
  <si>
    <t>ORD-10366</t>
  </si>
  <si>
    <t>ORD-10008</t>
  </si>
  <si>
    <t>ORD-10121</t>
  </si>
  <si>
    <t>ORD-10219</t>
  </si>
  <si>
    <t>ORD-10007</t>
  </si>
  <si>
    <t>ORD-10222</t>
  </si>
  <si>
    <t>ORD-10291</t>
  </si>
  <si>
    <t>ORD-10003</t>
  </si>
  <si>
    <t>ORD-10301</t>
  </si>
  <si>
    <t>ORD-10411</t>
  </si>
  <si>
    <t>ORD-10151</t>
  </si>
  <si>
    <t>ORD-10268</t>
  </si>
  <si>
    <t>ORD-10210</t>
  </si>
  <si>
    <t>ORD-10280</t>
  </si>
  <si>
    <t>ORD-10488</t>
  </si>
  <si>
    <t>ORD-10258</t>
  </si>
  <si>
    <t>ORD-10372</t>
  </si>
  <si>
    <t>ORD-10248</t>
  </si>
  <si>
    <t>ORD-10330</t>
  </si>
  <si>
    <t>ORD-10188</t>
  </si>
  <si>
    <t>ORD-10021</t>
  </si>
  <si>
    <t>ORD-10064</t>
  </si>
  <si>
    <t>ORD-10400</t>
  </si>
  <si>
    <t>ORD-10490</t>
  </si>
  <si>
    <t>ORD-10020</t>
  </si>
  <si>
    <t>ORD-10317</t>
  </si>
  <si>
    <t>ORD-10165</t>
  </si>
  <si>
    <t>ORD-10326</t>
  </si>
  <si>
    <t>ORD-10006</t>
  </si>
  <si>
    <t>ORD-10425</t>
  </si>
  <si>
    <t>ORD-10166</t>
  </si>
  <si>
    <t>ORD-10334</t>
  </si>
  <si>
    <t>ORD-10467</t>
  </si>
  <si>
    <t>ORD-10221</t>
  </si>
  <si>
    <t>ORD-10404</t>
  </si>
  <si>
    <t>ORD-10472</t>
  </si>
  <si>
    <t>ORD-10293</t>
  </si>
  <si>
    <t>ORD-10117</t>
  </si>
  <si>
    <t>ORD-10283</t>
  </si>
  <si>
    <t>ORD-10043</t>
  </si>
  <si>
    <t>ORD-10101</t>
  </si>
  <si>
    <t>ORD-10344</t>
  </si>
  <si>
    <t>ORD-10314</t>
  </si>
  <si>
    <t>ORD-10477</t>
  </si>
  <si>
    <t>ORD-10424</t>
  </si>
  <si>
    <t>ORD-10110</t>
  </si>
  <si>
    <t>ORD-10240</t>
  </si>
  <si>
    <t>ORD-10234</t>
  </si>
  <si>
    <t>ORD-10231</t>
  </si>
  <si>
    <t>ORD-10072</t>
  </si>
  <si>
    <t>ORD-10029</t>
  </si>
  <si>
    <t>ORD-10274</t>
  </si>
  <si>
    <t>ORD-10061</t>
  </si>
  <si>
    <t>ORD-10253</t>
  </si>
  <si>
    <t>ORD-10093</t>
  </si>
  <si>
    <t>ORD-10208</t>
  </si>
  <si>
    <t>ORD-10319</t>
  </si>
  <si>
    <t>ORD-10223</t>
  </si>
  <si>
    <t>ORD-10083</t>
  </si>
  <si>
    <t>ORD-10304</t>
  </si>
  <si>
    <t>ORD-10209</t>
  </si>
  <si>
    <t>ORD-10288</t>
  </si>
  <si>
    <t>ORD-10461</t>
  </si>
  <si>
    <t>ORD-10211</t>
  </si>
  <si>
    <t>ORD-10081</t>
  </si>
  <si>
    <t>ORD-10415</t>
  </si>
  <si>
    <t>ORD-10441</t>
  </si>
  <si>
    <t>ORD-10172</t>
  </si>
  <si>
    <t>ORD-10421</t>
  </si>
  <si>
    <t>ORD-10311</t>
  </si>
  <si>
    <t>ORD-10034</t>
  </si>
  <si>
    <t>ORD-10405</t>
  </si>
  <si>
    <t>ORD-10086</t>
  </si>
  <si>
    <t>ORD-10388</t>
  </si>
  <si>
    <t>ORD-10494</t>
  </si>
  <si>
    <t>ORD-10147</t>
  </si>
  <si>
    <t>ORD-10049</t>
  </si>
  <si>
    <t>ORD-10070</t>
  </si>
  <si>
    <t>ORD-10455</t>
  </si>
  <si>
    <t>ORD-10278</t>
  </si>
  <si>
    <t>ORD-10492</t>
  </si>
  <si>
    <t>ORD-10243</t>
  </si>
  <si>
    <t>ORD-10112</t>
  </si>
  <si>
    <t>ORD-10454</t>
  </si>
  <si>
    <t>ORD-10032</t>
  </si>
  <si>
    <t>ORD-10065</t>
  </si>
  <si>
    <t>ORD-10213</t>
  </si>
  <si>
    <t>ORD-10116</t>
  </si>
  <si>
    <t>ORD-10426</t>
  </si>
  <si>
    <t>ORD-10103</t>
  </si>
  <si>
    <t>ORD-10148</t>
  </si>
  <si>
    <t>ORD-10387</t>
  </si>
  <si>
    <t>ORD-10428</t>
  </si>
  <si>
    <t>ORD-10296</t>
  </si>
  <si>
    <t>ORD-10266</t>
  </si>
  <si>
    <t>ORD-10228</t>
  </si>
  <si>
    <t>ORD-10090</t>
  </si>
  <si>
    <t>ORD-10143</t>
  </si>
  <si>
    <t>ORD-10155</t>
  </si>
  <si>
    <t>ORD-10177</t>
  </si>
  <si>
    <t>ORD-10487</t>
  </si>
  <si>
    <t>ORD-10225</t>
  </si>
  <si>
    <t>ORD-10091</t>
  </si>
  <si>
    <t>ORD-10420</t>
  </si>
  <si>
    <t>ORD-10384</t>
  </si>
  <si>
    <t>ORD-10216</t>
  </si>
  <si>
    <t>ORD-10161</t>
  </si>
  <si>
    <t>ORD-10189</t>
  </si>
  <si>
    <t>ORD-10297</t>
  </si>
  <si>
    <t>ORD-10457</t>
  </si>
  <si>
    <t>ORD-10252</t>
  </si>
  <si>
    <t>ORD-10470</t>
  </si>
  <si>
    <t>ORD-10192</t>
  </si>
  <si>
    <t>ORD-10041</t>
  </si>
  <si>
    <t>ORD-10456</t>
  </si>
  <si>
    <t>ORD-10082</t>
  </si>
  <si>
    <t>ORD-10442</t>
  </si>
  <si>
    <t>ORD-10443</t>
  </si>
  <si>
    <t>ORD-10473</t>
  </si>
  <si>
    <t>ORD-10227</t>
  </si>
  <si>
    <t>ORD-10349</t>
  </si>
  <si>
    <t>ORD-10356</t>
  </si>
  <si>
    <t>ORD-10448</t>
  </si>
  <si>
    <t>ORD-10345</t>
  </si>
  <si>
    <t>ORD-10150</t>
  </si>
  <si>
    <t>ORD-10187</t>
  </si>
  <si>
    <t>ORD-10493</t>
  </si>
  <si>
    <t>ORD-10298</t>
  </si>
  <si>
    <t>ORD-10207</t>
  </si>
  <si>
    <t>ORD-10364</t>
  </si>
  <si>
    <t>ORD-10031</t>
  </si>
  <si>
    <t>ORD-10332</t>
  </si>
  <si>
    <t>ORD-10173</t>
  </si>
  <si>
    <t>ORD-10340</t>
  </si>
  <si>
    <t>ORD-10100</t>
  </si>
  <si>
    <t>ORD-10016</t>
  </si>
  <si>
    <t>ORD-10056</t>
  </si>
  <si>
    <t>ORD-10481</t>
  </si>
  <si>
    <t>ORD-10235</t>
  </si>
  <si>
    <t>ORD-10265</t>
  </si>
  <si>
    <t>ORD-10287</t>
  </si>
  <si>
    <t>ORD-10486</t>
  </si>
  <si>
    <t>ORD-10396</t>
  </si>
  <si>
    <t>ORD-10153</t>
  </si>
  <si>
    <t>ORD-10047</t>
  </si>
  <si>
    <t>ORD-10051</t>
  </si>
  <si>
    <t>ORD-10458</t>
  </si>
  <si>
    <t>ORD-10429</t>
  </si>
  <si>
    <t>ORD-10202</t>
  </si>
  <si>
    <t>ORD-10272</t>
  </si>
  <si>
    <t>ORD-10381</t>
  </si>
  <si>
    <t>ORD-10386</t>
  </si>
  <si>
    <t>ORD-10320</t>
  </si>
  <si>
    <t>ORD-10205</t>
  </si>
  <si>
    <t>ORD-10179</t>
  </si>
  <si>
    <t>ORD-10137</t>
  </si>
  <si>
    <t>ORD-10410</t>
  </si>
  <si>
    <t>ORD-10444</t>
  </si>
  <si>
    <t>ORD-10195</t>
  </si>
  <si>
    <t>ORD-10393</t>
  </si>
  <si>
    <t>ORD-10057</t>
  </si>
  <si>
    <t>ORD-10078</t>
  </si>
  <si>
    <t>ORD-10115</t>
  </si>
  <si>
    <t>ORD-10282</t>
  </si>
  <si>
    <t>ORD-10024</t>
  </si>
  <si>
    <t>ORD-10109</t>
  </si>
  <si>
    <t>ORD-10302</t>
  </si>
  <si>
    <t>ORD-10368</t>
  </si>
  <si>
    <t>ORD-10017</t>
  </si>
  <si>
    <t>ORD-10263</t>
  </si>
  <si>
    <t>ORD-10271</t>
  </si>
  <si>
    <t>ORD-10369</t>
  </si>
  <si>
    <t>ORD-10038</t>
  </si>
  <si>
    <t>ORD-10399</t>
  </si>
  <si>
    <t>ORD-10285</t>
  </si>
  <si>
    <t>ORD-10206</t>
  </si>
  <si>
    <t>ORD-10361</t>
  </si>
  <si>
    <t>ORD-10300</t>
  </si>
  <si>
    <t>ORD-10071</t>
  </si>
  <si>
    <t>ORD-10324</t>
  </si>
  <si>
    <t>ORD-10460</t>
  </si>
  <si>
    <t>ORD-10498</t>
  </si>
  <si>
    <t>ORD-10127</t>
  </si>
  <si>
    <t>ORD-10419</t>
  </si>
  <si>
    <t>ORD-10383</t>
  </si>
  <si>
    <t>ORD-10382</t>
  </si>
  <si>
    <t>ORD-10159</t>
  </si>
  <si>
    <t>ORD-10160</t>
  </si>
  <si>
    <t>ORD-10249</t>
  </si>
  <si>
    <t>ORD-10156</t>
  </si>
  <si>
    <t>ORD-10279</t>
  </si>
  <si>
    <t>ORD-10436</t>
  </si>
  <si>
    <t>ORD-10035</t>
  </si>
  <si>
    <t>ORD-10371</t>
  </si>
  <si>
    <t>ORD-10322</t>
  </si>
  <si>
    <t>ORD-10316</t>
  </si>
  <si>
    <t>ORD-10450</t>
  </si>
  <si>
    <t>ORD-10315</t>
  </si>
  <si>
    <t>ORD-10378</t>
  </si>
  <si>
    <t>ORD-10276</t>
  </si>
  <si>
    <t>ORD-10102</t>
  </si>
  <si>
    <t>ORD-10229</t>
  </si>
  <si>
    <t>ORD-10390</t>
  </si>
  <si>
    <t>ORD-10496</t>
  </si>
  <si>
    <t>ORD-10275</t>
  </si>
  <si>
    <t>ORD-10479</t>
  </si>
  <si>
    <t>ORD-10087</t>
  </si>
  <si>
    <t>ORD-10073</t>
  </si>
  <si>
    <t>ORD-10416</t>
  </si>
  <si>
    <t>ORD-10182</t>
  </si>
  <si>
    <t>ORD-10212</t>
  </si>
  <si>
    <t>ORD-10449</t>
  </si>
  <si>
    <t>ORD-10124</t>
  </si>
  <si>
    <t>ORD-10491</t>
  </si>
  <si>
    <t>ORD-10394</t>
  </si>
  <si>
    <t>ORD-10309</t>
  </si>
  <si>
    <t>ORD-10346</t>
  </si>
  <si>
    <t>ORD-10074</t>
  </si>
  <si>
    <t>ORD-10256</t>
  </si>
  <si>
    <t>ORD-10367</t>
  </si>
  <si>
    <t>ORD-10328</t>
  </si>
  <si>
    <t>ORD-10149</t>
  </si>
  <si>
    <t>ORD-10290</t>
  </si>
  <si>
    <t>ORD-10478</t>
  </si>
  <si>
    <t>ORD-10175</t>
  </si>
  <si>
    <t>ORD-10497</t>
  </si>
  <si>
    <t>ORD-10423</t>
  </si>
  <si>
    <t>ORD-10418</t>
  </si>
  <si>
    <t>ORD-10063</t>
  </si>
  <si>
    <t>ORD-10132</t>
  </si>
  <si>
    <t>ORD-10194</t>
  </si>
  <si>
    <t>ORD-10076</t>
  </si>
  <si>
    <t>ORD-10289</t>
  </si>
  <si>
    <t>ORD-10431</t>
  </si>
  <si>
    <t>ORD-10119</t>
  </si>
  <si>
    <t>ORD-10068</t>
  </si>
  <si>
    <t>ORD-10135</t>
  </si>
  <si>
    <t>ORD-10108</t>
  </si>
  <si>
    <t>ORD-10327</t>
  </si>
  <si>
    <t>ORD-10286</t>
  </si>
  <si>
    <t>ORD-10146</t>
  </si>
  <si>
    <t>ORD-10191</t>
  </si>
  <si>
    <t>ORD-10439</t>
  </si>
  <si>
    <t>ORD-10413</t>
  </si>
  <si>
    <t>ORD-10451</t>
  </si>
  <si>
    <t>Total Sales</t>
  </si>
  <si>
    <t>Total Cost</t>
  </si>
  <si>
    <t>Total Profit</t>
  </si>
  <si>
    <t>Total Orders</t>
  </si>
  <si>
    <t>Total Quantity Sold</t>
  </si>
  <si>
    <t>Average Order Value</t>
  </si>
  <si>
    <t>Profit Margin %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</si>
  <si>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</si>
  <si>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</si>
  <si>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</si>
  <si>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</si>
  <si>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</si>
  <si>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</si>
  <si>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</si>
  <si>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</si>
  <si>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</si>
  <si>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</si>
  <si>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</si>
  <si>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</si>
  <si>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</si>
  <si>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Quantity Sold</t>
  </si>
  <si>
    <t>Profit Margin</t>
  </si>
  <si>
    <t>SALES PERFORMANCE DASHBOARD</t>
  </si>
  <si>
    <t>Sales Analysis | 2025</t>
  </si>
  <si>
    <t>KEY INSIGHTS</t>
  </si>
  <si>
    <t>North generated the highest regional sales.</t>
  </si>
  <si>
    <t>Laptop is the top-selling product and highest profit contributor.</t>
  </si>
  <si>
    <t>April recorded the highest monthly sales.</t>
  </si>
  <si>
    <t>Small Business generated the highest sales among customer segments.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</si>
</sst>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 &quot;₹&quot;\ * #,##0.00_ ;_ &quot;₹&quot;\ * \-#,##0.00_ ;_ &quot;₹&quot;\ * &quot;-&quot;??_ ;_ @_ "/>
    <numFmt numFmtId="165" formatCode="\₹#,##0.00"/>
    <numFmt numFmtId="168" formatCode="[$-14009]dd/mm/yy;@"/>
    <numFmt numFmtId="173" formatCode="&quot;₹&quot;\ 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1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3" fillId="0" borderId="1" xfId="0" applyFont="1" applyBorder="1" applyAlignment="1">
      <alignment horizontal="center" vertical="top"/>
    </xf>
    <xf numFmtId="165" fontId="0" fillId="0" borderId="0" xfId="0" applyNumberFormat="1"/>
    <xf numFmtId="9" fontId="0" fillId="0" borderId="0" xfId="0" applyNumberFormat="1"/>
    <xf numFmtId="168" fontId="3" fillId="0" borderId="1" xfId="0" applyNumberFormat="1" applyFont="1" applyBorder="1" applyAlignment="1">
      <alignment horizontal="center" vertical="top"/>
    </xf>
    <xf numFmtId="168" fontId="0" fillId="0" borderId="0" xfId="0" applyNumberFormat="1"/>
    <xf numFmtId="44" fontId="0" fillId="0" borderId="0" xfId="0" applyNumberFormat="1"/>
    <xf numFmtId="44" fontId="3" fillId="0" borderId="1" xfId="0" applyNumberFormat="1" applyFont="1" applyBorder="1" applyAlignment="1">
      <alignment horizontal="center" vertical="top"/>
    </xf>
    <xf numFmtId="9" fontId="0" fillId="0" borderId="0" xfId="1" applyFont="1"/>
    <xf numFmtId="0" fontId="0" fillId="0" borderId="0" xfId="0" applyAlignment="1">
      <alignment vertical="center" wrapText="1"/>
    </xf>
    <xf numFmtId="173" fontId="0" fillId="0" borderId="0" xfId="0" applyNumberFormat="1"/>
    <xf numFmtId="10" fontId="0" fillId="0" borderId="0" xfId="1" applyNumberFormat="1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4" fillId="0" borderId="1" xfId="0" applyFont="1" applyBorder="1" applyAlignment="1">
      <alignment horizontal="center"/>
    </xf>
    <xf numFmtId="44" fontId="4" fillId="0" borderId="1" xfId="0" applyNumberFormat="1" applyFont="1" applyBorder="1" applyAlignment="1">
      <alignment horizontal="center"/>
    </xf>
    <xf numFmtId="173" fontId="4" fillId="0" borderId="1" xfId="0" applyNumberFormat="1" applyFont="1" applyBorder="1" applyAlignment="1">
      <alignment horizontal="center"/>
    </xf>
    <xf numFmtId="0" fontId="4" fillId="0" borderId="1" xfId="0" applyNumberFormat="1" applyFont="1" applyBorder="1" applyAlignment="1">
      <alignment horizontal="center"/>
    </xf>
    <xf numFmtId="10" fontId="4" fillId="0" borderId="1" xfId="1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Analysis!$B$10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Analysis!$A$11:$A$14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Analysis!$B$11:$B$14</c:f>
              <c:numCache>
                <c:formatCode>General</c:formatCode>
                <c:ptCount val="4"/>
                <c:pt idx="0">
                  <c:v>9957463.4500000011</c:v>
                </c:pt>
                <c:pt idx="1">
                  <c:v>8994165.799999997</c:v>
                </c:pt>
                <c:pt idx="2">
                  <c:v>9184415.6500000004</c:v>
                </c:pt>
                <c:pt idx="3">
                  <c:v>7728343.0500000017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D7-4FF2-9D87-6759D39AB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1911727"/>
        <c:axId val="1336897455"/>
      </c:barChart>
      <c:catAx>
        <c:axId val="124191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897455"/>
        <c:crosses val="autoZero"/>
        <c:auto val="1"/>
        <c:lblAlgn val="ctr"/>
        <c:lblOffset val="100"/>
        <c:noMultiLvlLbl val="0"/>
      </c:catAx>
      <c:valAx>
        <c:axId val="133689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911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Product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Analysis!$B$16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Analysis!$A$17:$A$26</c:f>
              <c:strCache>
                <c:ptCount val="10"/>
                <c:pt idx="0">
                  <c:v>Laptop</c:v>
                </c:pt>
                <c:pt idx="1">
                  <c:v>Monitor</c:v>
                </c:pt>
                <c:pt idx="2">
                  <c:v>Keyboard</c:v>
                </c:pt>
                <c:pt idx="3">
                  <c:v>Mouse</c:v>
                </c:pt>
                <c:pt idx="4">
                  <c:v>Headset</c:v>
                </c:pt>
                <c:pt idx="5">
                  <c:v>Printer</c:v>
                </c:pt>
                <c:pt idx="6">
                  <c:v>Tablet</c:v>
                </c:pt>
                <c:pt idx="7">
                  <c:v>Office Chair</c:v>
                </c:pt>
                <c:pt idx="8">
                  <c:v>Desk</c:v>
                </c:pt>
                <c:pt idx="9">
                  <c:v>Webcam</c:v>
                </c:pt>
              </c:strCache>
            </c:strRef>
          </c:cat>
          <c:val>
            <c:numRef>
              <c:f>Analysis!$B$17:$B$26</c:f>
              <c:numCache>
                <c:formatCode>General</c:formatCode>
                <c:ptCount val="10"/>
                <c:pt idx="0">
                  <c:v>16451575.600000001</c:v>
                </c:pt>
                <c:pt idx="1">
                  <c:v>3683965.7500000009</c:v>
                </c:pt>
                <c:pt idx="2">
                  <c:v>470972.45</c:v>
                </c:pt>
                <c:pt idx="3">
                  <c:v>210985.29999999996</c:v>
                </c:pt>
                <c:pt idx="4">
                  <c:v>744771.29999999993</c:v>
                </c:pt>
                <c:pt idx="5">
                  <c:v>2159941.4500000002</c:v>
                </c:pt>
                <c:pt idx="6">
                  <c:v>6637202.9999999991</c:v>
                </c:pt>
                <c:pt idx="7">
                  <c:v>2315081.3499999992</c:v>
                </c:pt>
                <c:pt idx="8">
                  <c:v>2368240.1</c:v>
                </c:pt>
                <c:pt idx="9">
                  <c:v>821651.65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AA-4339-B06B-21A347DC28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4079759"/>
        <c:axId val="1394076431"/>
      </c:barChart>
      <c:catAx>
        <c:axId val="1394079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076431"/>
        <c:crosses val="autoZero"/>
        <c:auto val="1"/>
        <c:lblAlgn val="ctr"/>
        <c:lblOffset val="100"/>
        <c:noMultiLvlLbl val="0"/>
      </c:catAx>
      <c:valAx>
        <c:axId val="1394076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079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Sales Trend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Analysis!$B$28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Analysis!$A$29:$A$40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Analysis!$B$29:$B$40</c:f>
              <c:numCache>
                <c:formatCode>General</c:formatCode>
                <c:ptCount val="12"/>
                <c:pt idx="0">
                  <c:v>2685340.0000000005</c:v>
                </c:pt>
                <c:pt idx="1">
                  <c:v>2744014.0999999996</c:v>
                </c:pt>
                <c:pt idx="2">
                  <c:v>2017815.7000000002</c:v>
                </c:pt>
                <c:pt idx="3">
                  <c:v>4682589.0000000009</c:v>
                </c:pt>
                <c:pt idx="4">
                  <c:v>3276481.8999999994</c:v>
                </c:pt>
                <c:pt idx="5">
                  <c:v>2174488.1999999997</c:v>
                </c:pt>
                <c:pt idx="6">
                  <c:v>3098100.7999999993</c:v>
                </c:pt>
                <c:pt idx="7">
                  <c:v>2921973.5999999996</c:v>
                </c:pt>
                <c:pt idx="8">
                  <c:v>2283264.0500000003</c:v>
                </c:pt>
                <c:pt idx="9">
                  <c:v>2971438.8499999996</c:v>
                </c:pt>
                <c:pt idx="10">
                  <c:v>3242403.1000000006</c:v>
                </c:pt>
                <c:pt idx="11">
                  <c:v>3766478.65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86-4C56-A8B3-CCDCAD057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7206751"/>
        <c:axId val="1397199679"/>
      </c:lineChart>
      <c:catAx>
        <c:axId val="1397206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199679"/>
        <c:crosses val="autoZero"/>
        <c:auto val="1"/>
        <c:lblAlgn val="ctr"/>
        <c:lblOffset val="100"/>
        <c:noMultiLvlLbl val="0"/>
      </c:catAx>
      <c:valAx>
        <c:axId val="139719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206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by Customer Segment</a:t>
            </a:r>
            <a:endParaRPr lang="en-US"/>
          </a:p>
        </c:rich>
      </c:tx>
      <c:layout>
        <c:manualLayout>
          <c:xMode val="edge"/>
          <c:yMode val="edge"/>
          <c:x val="0.27376869855991243"/>
          <c:y val="3.04182509505703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Analysis!$B$42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Analysis!$A$43:$A$45</c:f>
              <c:strCache>
                <c:ptCount val="3"/>
                <c:pt idx="0">
                  <c:v>Corporate</c:v>
                </c:pt>
                <c:pt idx="1">
                  <c:v>Small Business</c:v>
                </c:pt>
                <c:pt idx="2">
                  <c:v>Consumer</c:v>
                </c:pt>
              </c:strCache>
            </c:strRef>
          </c:cat>
          <c:val>
            <c:numRef>
              <c:f>Analysis!$B$43:$B$45</c:f>
              <c:numCache>
                <c:formatCode>General</c:formatCode>
                <c:ptCount val="3"/>
                <c:pt idx="0">
                  <c:v>11132156.700000001</c:v>
                </c:pt>
                <c:pt idx="1">
                  <c:v>12676094.549999997</c:v>
                </c:pt>
                <c:pt idx="2">
                  <c:v>12056136.699999999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89-4841-BBCB-6A3CC59DE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4089327"/>
        <c:axId val="1394083919"/>
      </c:barChart>
      <c:catAx>
        <c:axId val="1394089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083919"/>
        <c:crosses val="autoZero"/>
        <c:auto val="1"/>
        <c:lblAlgn val="ctr"/>
        <c:lblOffset val="100"/>
        <c:noMultiLvlLbl val="0"/>
      </c:catAx>
      <c:valAx>
        <c:axId val="139408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089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Profit by Product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Analysis!$B$46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Analysis!$A$47:$A$56</c:f>
              <c:strCache>
                <c:ptCount val="10"/>
                <c:pt idx="0">
                  <c:v>Laptop</c:v>
                </c:pt>
                <c:pt idx="1">
                  <c:v>Monitor</c:v>
                </c:pt>
                <c:pt idx="2">
                  <c:v>Keyboard</c:v>
                </c:pt>
                <c:pt idx="3">
                  <c:v>Mouse</c:v>
                </c:pt>
                <c:pt idx="4">
                  <c:v>Headset</c:v>
                </c:pt>
                <c:pt idx="5">
                  <c:v>Printer</c:v>
                </c:pt>
                <c:pt idx="6">
                  <c:v>Tablet</c:v>
                </c:pt>
                <c:pt idx="7">
                  <c:v>Office Chair</c:v>
                </c:pt>
                <c:pt idx="8">
                  <c:v>Desk</c:v>
                </c:pt>
                <c:pt idx="9">
                  <c:v>Webcam</c:v>
                </c:pt>
              </c:strCache>
            </c:strRef>
          </c:cat>
          <c:val>
            <c:numRef>
              <c:f>Analysis!$B$47:$B$56</c:f>
              <c:numCache>
                <c:formatCode>General</c:formatCode>
                <c:ptCount val="10"/>
                <c:pt idx="0">
                  <c:v>16451575.600000001</c:v>
                </c:pt>
                <c:pt idx="1">
                  <c:v>3683965.7500000009</c:v>
                </c:pt>
                <c:pt idx="2">
                  <c:v>470972.45</c:v>
                </c:pt>
                <c:pt idx="3">
                  <c:v>210985.29999999996</c:v>
                </c:pt>
                <c:pt idx="4">
                  <c:v>744771.29999999993</c:v>
                </c:pt>
                <c:pt idx="5">
                  <c:v>2159941.4500000002</c:v>
                </c:pt>
                <c:pt idx="6">
                  <c:v>6637202.9999999991</c:v>
                </c:pt>
                <c:pt idx="7">
                  <c:v>2315081.3499999992</c:v>
                </c:pt>
                <c:pt idx="8">
                  <c:v>2368240.1</c:v>
                </c:pt>
                <c:pt idx="9">
                  <c:v>821651.65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BD-427F-9E3C-A88D768F49BA}"/>
            </c:ext>
          </c:extLst>
        </c:ser>
        <c:ser>
          <c:idx val="1"/>
          <c:order val="1"/>
          <c:tx>
            <c:strRef>
              <c:f>Analysis!$C$46</c:f>
              <c:strCache>
                <c:ptCount val="1"/>
                <c:pt idx="0">
                  <c:v>Total 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Analysis!$A$47:$A$56</c:f>
              <c:strCache>
                <c:ptCount val="10"/>
                <c:pt idx="0">
                  <c:v>Laptop</c:v>
                </c:pt>
                <c:pt idx="1">
                  <c:v>Monitor</c:v>
                </c:pt>
                <c:pt idx="2">
                  <c:v>Keyboard</c:v>
                </c:pt>
                <c:pt idx="3">
                  <c:v>Mouse</c:v>
                </c:pt>
                <c:pt idx="4">
                  <c:v>Headset</c:v>
                </c:pt>
                <c:pt idx="5">
                  <c:v>Printer</c:v>
                </c:pt>
                <c:pt idx="6">
                  <c:v>Tablet</c:v>
                </c:pt>
                <c:pt idx="7">
                  <c:v>Office Chair</c:v>
                </c:pt>
                <c:pt idx="8">
                  <c:v>Desk</c:v>
                </c:pt>
                <c:pt idx="9">
                  <c:v>Webcam</c:v>
                </c:pt>
              </c:strCache>
            </c:strRef>
          </c:cat>
          <c:val>
            <c:numRef>
              <c:f>Analysis!$C$47:$C$56</c:f>
              <c:numCache>
                <c:formatCode>General</c:formatCode>
                <c:ptCount val="10"/>
                <c:pt idx="0">
                  <c:v>11822581.179999996</c:v>
                </c:pt>
                <c:pt idx="1">
                  <c:v>2689539.9899999998</c:v>
                </c:pt>
                <c:pt idx="2">
                  <c:v>334778.72999999992</c:v>
                </c:pt>
                <c:pt idx="3">
                  <c:v>150487.25999999998</c:v>
                </c:pt>
                <c:pt idx="4">
                  <c:v>538559.96999999986</c:v>
                </c:pt>
                <c:pt idx="5">
                  <c:v>1549342.03</c:v>
                </c:pt>
                <c:pt idx="6">
                  <c:v>4689347.7399999993</c:v>
                </c:pt>
                <c:pt idx="7">
                  <c:v>1654095.7499999998</c:v>
                </c:pt>
                <c:pt idx="8">
                  <c:v>1669725.98</c:v>
                </c:pt>
                <c:pt idx="9">
                  <c:v>566541.31999999995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BD-427F-9E3C-A88D768F49BA}"/>
            </c:ext>
          </c:extLst>
        </c:ser>
        <c:ser>
          <c:idx val="2"/>
          <c:order val="2"/>
          <c:tx>
            <c:strRef>
              <c:f>Analysis!$D$46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Analysis!$A$47:$A$56</c:f>
              <c:strCache>
                <c:ptCount val="10"/>
                <c:pt idx="0">
                  <c:v>Laptop</c:v>
                </c:pt>
                <c:pt idx="1">
                  <c:v>Monitor</c:v>
                </c:pt>
                <c:pt idx="2">
                  <c:v>Keyboard</c:v>
                </c:pt>
                <c:pt idx="3">
                  <c:v>Mouse</c:v>
                </c:pt>
                <c:pt idx="4">
                  <c:v>Headset</c:v>
                </c:pt>
                <c:pt idx="5">
                  <c:v>Printer</c:v>
                </c:pt>
                <c:pt idx="6">
                  <c:v>Tablet</c:v>
                </c:pt>
                <c:pt idx="7">
                  <c:v>Office Chair</c:v>
                </c:pt>
                <c:pt idx="8">
                  <c:v>Desk</c:v>
                </c:pt>
                <c:pt idx="9">
                  <c:v>Webcam</c:v>
                </c:pt>
              </c:strCache>
            </c:strRef>
          </c:cat>
          <c:val>
            <c:numRef>
              <c:f>Analysis!$D$47:$D$56</c:f>
              <c:numCache>
                <c:formatCode>General</c:formatCode>
                <c:ptCount val="10"/>
                <c:pt idx="0">
                  <c:v>4628994.4200000009</c:v>
                </c:pt>
                <c:pt idx="1">
                  <c:v>994425.76000000024</c:v>
                </c:pt>
                <c:pt idx="2">
                  <c:v>136193.71999999997</c:v>
                </c:pt>
                <c:pt idx="3">
                  <c:v>60498.040000000008</c:v>
                </c:pt>
                <c:pt idx="4">
                  <c:v>206211.32999999993</c:v>
                </c:pt>
                <c:pt idx="5">
                  <c:v>610599.42000000004</c:v>
                </c:pt>
                <c:pt idx="6">
                  <c:v>1947855.2599999995</c:v>
                </c:pt>
                <c:pt idx="7">
                  <c:v>660985.59999999998</c:v>
                </c:pt>
                <c:pt idx="8">
                  <c:v>698514.11999999976</c:v>
                </c:pt>
                <c:pt idx="9">
                  <c:v>255110.32999999996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BD-427F-9E3C-A88D768F4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64533983"/>
        <c:axId val="1397917375"/>
      </c:barChart>
      <c:catAx>
        <c:axId val="1464533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917375"/>
        <c:crosses val="autoZero"/>
        <c:auto val="1"/>
        <c:lblAlgn val="ctr"/>
        <c:lblOffset val="100"/>
        <c:noMultiLvlLbl val="0"/>
      </c:catAx>
      <c:valAx>
        <c:axId val="1397917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533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563033</xdr:colOff>
      <xdr:row>6</xdr:row>
      <xdr:rowOff>40217</xdr:rowOff>
    </xdr:from>
    <xdr:to>
      <xdr:col>6</xdr:col>
      <xdr:colOff>0</xdr:colOff>
      <xdr:row>19</xdr:row>
      <xdr:rowOff>74083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597959</xdr:colOff>
      <xdr:row>6</xdr:row>
      <xdr:rowOff>51858</xdr:rowOff>
    </xdr:from>
    <xdr:to>
      <xdr:col>12</xdr:col>
      <xdr:colOff>0</xdr:colOff>
      <xdr:row>19</xdr:row>
      <xdr:rowOff>89958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564090</xdr:colOff>
      <xdr:row>20</xdr:row>
      <xdr:rowOff>43392</xdr:rowOff>
    </xdr:from>
    <xdr:to>
      <xdr:col>5</xdr:col>
      <xdr:colOff>1365248</xdr:colOff>
      <xdr:row>33</xdr:row>
      <xdr:rowOff>81492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5291</xdr:colOff>
      <xdr:row>20</xdr:row>
      <xdr:rowOff>32808</xdr:rowOff>
    </xdr:from>
    <xdr:to>
      <xdr:col>12</xdr:col>
      <xdr:colOff>42333</xdr:colOff>
      <xdr:row>33</xdr:row>
      <xdr:rowOff>61383</xdr:rowOff>
    </xdr:to>
    <xdr:graphicFrame macro=""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560916</xdr:colOff>
      <xdr:row>34</xdr:row>
      <xdr:rowOff>57150</xdr:rowOff>
    </xdr:from>
    <xdr:to>
      <xdr:col>6</xdr:col>
      <xdr:colOff>42334</xdr:colOff>
      <xdr:row>43</xdr:row>
      <xdr:rowOff>63500</xdr:rowOff>
    </xdr:to>
    <xdr:graphicFrame macro=""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1"/>
  <sheetViews>
    <sheetView topLeftCell="D1" workbookViewId="0">
      <pane ySplit="1" topLeftCell="A2" activePane="bottomLeft" state="frozen"/>
      <selection pane="bottomLeft" activeCell="O1" sqref="N1:O1"/>
    </sheetView>
  </sheetViews>
  <sheetFormatPr defaultRowHeight="15" x14ac:dyDescent="0.25"/>
  <cols>
    <col min="1" max="1" width="14" customWidth="1"/>
    <col min="2" max="2" width="15.28515625" style="5" bestFit="1" customWidth="1"/>
    <col min="3" max="3" width="25" customWidth="1"/>
    <col min="4" max="4" width="12" customWidth="1"/>
    <col min="5" max="5" width="14" customWidth="1"/>
    <col min="6" max="7" width="18" customWidth="1"/>
    <col min="8" max="8" width="20" customWidth="1"/>
    <col min="9" max="9" width="11" customWidth="1"/>
    <col min="10" max="10" width="14" style="6" customWidth="1"/>
    <col min="11" max="11" width="12" customWidth="1"/>
    <col min="12" max="14" width="14" style="6" customWidth="1"/>
    <col min="15" max="15" width="18" customWidth="1"/>
  </cols>
  <sheetData>
    <row r="1" spans="1:18" x14ac:dyDescent="0.25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7" t="s">
        <v>9</v>
      </c>
      <c r="K1" s="1" t="s">
        <v>10</v>
      </c>
      <c r="L1" s="7" t="s">
        <v>11</v>
      </c>
      <c r="M1" s="7" t="s">
        <v>12</v>
      </c>
      <c r="N1" s="7" t="s">
        <v>13</v>
      </c>
      <c r="O1" s="1" t="s">
        <v>14</v>
      </c>
    </row>
    <row r="2" spans="1:18" x14ac:dyDescent="0.25">
      <c r="A2" t="s">
        <v>15</v>
      </c>
      <c r="B2" s="5">
        <v>45658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5</v>
      </c>
      <c r="J2" s="6">
        <v>2368</v>
      </c>
      <c r="K2" s="3">
        <v>0.05</v>
      </c>
      <c r="L2" s="6">
        <v>11248</v>
      </c>
      <c r="M2" s="6">
        <v>7930.93</v>
      </c>
      <c r="N2" s="6">
        <v>3317.07</v>
      </c>
      <c r="O2" t="s">
        <v>22</v>
      </c>
    </row>
    <row r="3" spans="1:18" x14ac:dyDescent="0.25">
      <c r="A3" t="s">
        <v>23</v>
      </c>
      <c r="B3" s="5">
        <v>45658</v>
      </c>
      <c r="C3" t="s">
        <v>24</v>
      </c>
      <c r="D3" t="s">
        <v>17</v>
      </c>
      <c r="E3" t="s">
        <v>25</v>
      </c>
      <c r="F3" t="s">
        <v>26</v>
      </c>
      <c r="G3" t="s">
        <v>20</v>
      </c>
      <c r="H3" t="s">
        <v>21</v>
      </c>
      <c r="I3">
        <v>5</v>
      </c>
      <c r="J3" s="6">
        <v>2553</v>
      </c>
      <c r="K3" s="3">
        <v>0.05</v>
      </c>
      <c r="L3" s="6">
        <v>12126.75</v>
      </c>
      <c r="M3" s="6">
        <v>9068.07</v>
      </c>
      <c r="N3" s="6">
        <v>3058.68</v>
      </c>
      <c r="O3" t="s">
        <v>27</v>
      </c>
      <c r="R3">
        <f>MIN(I2:I501)</f>
        <v>1</v>
      </c>
    </row>
    <row r="4" spans="1:18" x14ac:dyDescent="0.25">
      <c r="A4" t="s">
        <v>28</v>
      </c>
      <c r="B4" s="5">
        <v>45661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21</v>
      </c>
      <c r="I4">
        <v>2</v>
      </c>
      <c r="J4" s="6">
        <v>4860</v>
      </c>
      <c r="K4" s="3">
        <v>0.1</v>
      </c>
      <c r="L4" s="6">
        <v>8748</v>
      </c>
      <c r="M4" s="6">
        <v>6563.63</v>
      </c>
      <c r="N4" s="6">
        <v>2184.37</v>
      </c>
      <c r="O4" t="s">
        <v>27</v>
      </c>
      <c r="R4">
        <f>MAX(I2:I501)</f>
        <v>8</v>
      </c>
    </row>
    <row r="5" spans="1:18" x14ac:dyDescent="0.25">
      <c r="A5" t="s">
        <v>34</v>
      </c>
      <c r="B5" s="5">
        <v>45662</v>
      </c>
      <c r="C5" t="s">
        <v>35</v>
      </c>
      <c r="D5" t="s">
        <v>17</v>
      </c>
      <c r="E5" t="s">
        <v>36</v>
      </c>
      <c r="F5" t="s">
        <v>26</v>
      </c>
      <c r="G5" t="s">
        <v>33</v>
      </c>
      <c r="H5" t="s">
        <v>21</v>
      </c>
      <c r="I5">
        <v>1</v>
      </c>
      <c r="J5" s="6">
        <v>4142</v>
      </c>
      <c r="K5" s="8">
        <v>0.1</v>
      </c>
      <c r="L5" s="6">
        <v>3727.8</v>
      </c>
      <c r="M5" s="6">
        <v>2547.36</v>
      </c>
      <c r="N5" s="6">
        <v>1180.44</v>
      </c>
      <c r="O5" t="s">
        <v>22</v>
      </c>
      <c r="R5" s="2">
        <f>MIN(L2:L501)</f>
        <v>938.4</v>
      </c>
    </row>
    <row r="6" spans="1:18" x14ac:dyDescent="0.25">
      <c r="A6" t="s">
        <v>37</v>
      </c>
      <c r="B6" s="5">
        <v>45663</v>
      </c>
      <c r="C6" t="s">
        <v>38</v>
      </c>
      <c r="D6" t="s">
        <v>39</v>
      </c>
      <c r="E6" t="s">
        <v>40</v>
      </c>
      <c r="F6" t="s">
        <v>26</v>
      </c>
      <c r="G6" t="s">
        <v>41</v>
      </c>
      <c r="H6" t="s">
        <v>42</v>
      </c>
      <c r="I6">
        <v>4</v>
      </c>
      <c r="J6" s="6">
        <v>10255</v>
      </c>
      <c r="K6" s="3">
        <v>0.1</v>
      </c>
      <c r="L6" s="6">
        <v>36918</v>
      </c>
      <c r="M6" s="6">
        <v>23263.5</v>
      </c>
      <c r="N6" s="6">
        <v>13654.5</v>
      </c>
      <c r="O6" t="s">
        <v>43</v>
      </c>
      <c r="R6" s="2">
        <f>MIN(M2:M501)</f>
        <v>671.84</v>
      </c>
    </row>
    <row r="7" spans="1:18" x14ac:dyDescent="0.25">
      <c r="A7" t="s">
        <v>44</v>
      </c>
      <c r="B7" s="5">
        <v>45664</v>
      </c>
      <c r="C7" t="s">
        <v>45</v>
      </c>
      <c r="D7" t="s">
        <v>17</v>
      </c>
      <c r="E7" t="s">
        <v>46</v>
      </c>
      <c r="F7" t="s">
        <v>19</v>
      </c>
      <c r="G7" t="s">
        <v>33</v>
      </c>
      <c r="H7" t="s">
        <v>21</v>
      </c>
      <c r="I7">
        <v>7</v>
      </c>
      <c r="J7" s="6">
        <v>4712</v>
      </c>
      <c r="K7" s="3">
        <v>0.15</v>
      </c>
      <c r="L7" s="6">
        <v>28036.400000000001</v>
      </c>
      <c r="M7" s="6">
        <v>17579.13</v>
      </c>
      <c r="N7" s="6">
        <v>10457.27</v>
      </c>
      <c r="O7" t="s">
        <v>27</v>
      </c>
      <c r="R7" s="2">
        <f>MIN(N2:N501)</f>
        <v>181.19</v>
      </c>
    </row>
    <row r="8" spans="1:18" x14ac:dyDescent="0.25">
      <c r="A8" t="s">
        <v>47</v>
      </c>
      <c r="B8" s="5">
        <v>45664</v>
      </c>
      <c r="C8" t="s">
        <v>16</v>
      </c>
      <c r="D8" t="s">
        <v>48</v>
      </c>
      <c r="E8" t="s">
        <v>49</v>
      </c>
      <c r="F8" t="s">
        <v>32</v>
      </c>
      <c r="G8" t="s">
        <v>41</v>
      </c>
      <c r="H8" t="s">
        <v>42</v>
      </c>
      <c r="I8">
        <v>8</v>
      </c>
      <c r="J8" s="6">
        <v>9263</v>
      </c>
      <c r="K8" s="3">
        <v>0.15</v>
      </c>
      <c r="L8" s="6">
        <v>62988.4</v>
      </c>
      <c r="M8" s="6">
        <v>50051.11</v>
      </c>
      <c r="N8" s="6">
        <v>12937.29</v>
      </c>
      <c r="O8" t="s">
        <v>27</v>
      </c>
    </row>
    <row r="9" spans="1:18" x14ac:dyDescent="0.25">
      <c r="A9" t="s">
        <v>50</v>
      </c>
      <c r="B9" s="5">
        <v>45664</v>
      </c>
      <c r="C9" t="s">
        <v>51</v>
      </c>
      <c r="D9" t="s">
        <v>30</v>
      </c>
      <c r="E9" t="s">
        <v>40</v>
      </c>
      <c r="F9" t="s">
        <v>19</v>
      </c>
      <c r="G9" t="s">
        <v>52</v>
      </c>
      <c r="H9" t="s">
        <v>53</v>
      </c>
      <c r="I9">
        <v>6</v>
      </c>
      <c r="J9" s="6">
        <v>63333</v>
      </c>
      <c r="K9" s="3">
        <v>0.15</v>
      </c>
      <c r="L9" s="6">
        <v>322998.3</v>
      </c>
      <c r="M9" s="6">
        <v>211742.16</v>
      </c>
      <c r="N9" s="6">
        <v>111256.14</v>
      </c>
      <c r="O9" t="s">
        <v>27</v>
      </c>
    </row>
    <row r="10" spans="1:18" x14ac:dyDescent="0.25">
      <c r="A10" t="s">
        <v>54</v>
      </c>
      <c r="B10" s="5">
        <v>45665</v>
      </c>
      <c r="C10" t="s">
        <v>45</v>
      </c>
      <c r="D10" t="s">
        <v>17</v>
      </c>
      <c r="E10" t="s">
        <v>18</v>
      </c>
      <c r="F10" t="s">
        <v>32</v>
      </c>
      <c r="G10" t="s">
        <v>41</v>
      </c>
      <c r="H10" t="s">
        <v>42</v>
      </c>
      <c r="I10">
        <v>1</v>
      </c>
      <c r="J10" s="6">
        <v>9967</v>
      </c>
      <c r="K10" s="3">
        <v>0.1</v>
      </c>
      <c r="L10" s="6">
        <v>8970.2999999999993</v>
      </c>
      <c r="M10" s="6">
        <v>6965.16</v>
      </c>
      <c r="N10" s="6">
        <v>2005.14</v>
      </c>
      <c r="O10" t="s">
        <v>43</v>
      </c>
    </row>
    <row r="11" spans="1:18" x14ac:dyDescent="0.25">
      <c r="A11" t="s">
        <v>55</v>
      </c>
      <c r="B11" s="5">
        <v>45666</v>
      </c>
      <c r="C11" t="s">
        <v>35</v>
      </c>
      <c r="D11" t="s">
        <v>17</v>
      </c>
      <c r="E11" t="s">
        <v>40</v>
      </c>
      <c r="F11" t="s">
        <v>32</v>
      </c>
      <c r="G11" t="s">
        <v>33</v>
      </c>
      <c r="H11" t="s">
        <v>21</v>
      </c>
      <c r="I11">
        <v>2</v>
      </c>
      <c r="J11" s="6">
        <v>4606</v>
      </c>
      <c r="K11" s="3">
        <v>0</v>
      </c>
      <c r="L11" s="6">
        <v>9212</v>
      </c>
      <c r="M11" s="6">
        <v>5697.65</v>
      </c>
      <c r="N11" s="6">
        <v>3514.35</v>
      </c>
      <c r="O11" t="s">
        <v>27</v>
      </c>
    </row>
    <row r="12" spans="1:18" x14ac:dyDescent="0.25">
      <c r="A12" t="s">
        <v>56</v>
      </c>
      <c r="B12" s="5">
        <v>45666</v>
      </c>
      <c r="C12" t="s">
        <v>24</v>
      </c>
      <c r="D12" t="s">
        <v>30</v>
      </c>
      <c r="E12" t="s">
        <v>57</v>
      </c>
      <c r="F12" t="s">
        <v>32</v>
      </c>
      <c r="G12" t="s">
        <v>20</v>
      </c>
      <c r="H12" t="s">
        <v>21</v>
      </c>
      <c r="I12">
        <v>4</v>
      </c>
      <c r="J12" s="6">
        <v>2747</v>
      </c>
      <c r="K12" s="3">
        <v>0</v>
      </c>
      <c r="L12" s="6">
        <v>10988</v>
      </c>
      <c r="M12" s="6">
        <v>7550.66</v>
      </c>
      <c r="N12" s="6">
        <v>3437.34</v>
      </c>
      <c r="O12" t="s">
        <v>58</v>
      </c>
    </row>
    <row r="13" spans="1:18" x14ac:dyDescent="0.25">
      <c r="A13" t="s">
        <v>59</v>
      </c>
      <c r="B13" s="5">
        <v>45667</v>
      </c>
      <c r="C13" t="s">
        <v>60</v>
      </c>
      <c r="D13" t="s">
        <v>39</v>
      </c>
      <c r="E13" t="s">
        <v>18</v>
      </c>
      <c r="F13" t="s">
        <v>32</v>
      </c>
      <c r="G13" t="s">
        <v>20</v>
      </c>
      <c r="H13" t="s">
        <v>21</v>
      </c>
      <c r="I13">
        <v>6</v>
      </c>
      <c r="J13" s="6">
        <v>2334</v>
      </c>
      <c r="K13" s="3">
        <v>0.1</v>
      </c>
      <c r="L13" s="6">
        <v>12603.6</v>
      </c>
      <c r="M13" s="6">
        <v>8496.6</v>
      </c>
      <c r="N13" s="6">
        <v>4107</v>
      </c>
      <c r="O13" t="s">
        <v>43</v>
      </c>
    </row>
    <row r="14" spans="1:18" x14ac:dyDescent="0.25">
      <c r="A14" t="s">
        <v>61</v>
      </c>
      <c r="B14" s="5">
        <v>45667</v>
      </c>
      <c r="C14" t="s">
        <v>35</v>
      </c>
      <c r="D14" t="s">
        <v>39</v>
      </c>
      <c r="E14" t="s">
        <v>36</v>
      </c>
      <c r="F14" t="s">
        <v>19</v>
      </c>
      <c r="G14" t="s">
        <v>62</v>
      </c>
      <c r="H14" t="s">
        <v>21</v>
      </c>
      <c r="I14">
        <v>8</v>
      </c>
      <c r="J14" s="6">
        <v>3720</v>
      </c>
      <c r="K14" s="3">
        <v>0.1</v>
      </c>
      <c r="L14" s="6">
        <v>26784</v>
      </c>
      <c r="M14" s="6">
        <v>20123.740000000002</v>
      </c>
      <c r="N14" s="6">
        <v>6660.26</v>
      </c>
      <c r="O14" t="s">
        <v>27</v>
      </c>
    </row>
    <row r="15" spans="1:18" x14ac:dyDescent="0.25">
      <c r="A15" t="s">
        <v>63</v>
      </c>
      <c r="B15" s="5">
        <v>45668</v>
      </c>
      <c r="C15" t="s">
        <v>60</v>
      </c>
      <c r="D15" t="s">
        <v>17</v>
      </c>
      <c r="E15" t="s">
        <v>31</v>
      </c>
      <c r="F15" t="s">
        <v>26</v>
      </c>
      <c r="G15" t="s">
        <v>64</v>
      </c>
      <c r="H15" t="s">
        <v>53</v>
      </c>
      <c r="I15">
        <v>7</v>
      </c>
      <c r="J15" s="6">
        <v>26564</v>
      </c>
      <c r="K15" s="3">
        <v>0.05</v>
      </c>
      <c r="L15" s="6">
        <v>176650.6</v>
      </c>
      <c r="M15" s="6">
        <v>119035.7</v>
      </c>
      <c r="N15" s="6">
        <v>57614.9</v>
      </c>
      <c r="O15" t="s">
        <v>22</v>
      </c>
    </row>
    <row r="16" spans="1:18" x14ac:dyDescent="0.25">
      <c r="A16" t="s">
        <v>65</v>
      </c>
      <c r="B16" s="5">
        <v>45669</v>
      </c>
      <c r="C16" t="s">
        <v>51</v>
      </c>
      <c r="D16" t="s">
        <v>30</v>
      </c>
      <c r="E16" t="s">
        <v>36</v>
      </c>
      <c r="F16" t="s">
        <v>32</v>
      </c>
      <c r="G16" t="s">
        <v>64</v>
      </c>
      <c r="H16" t="s">
        <v>53</v>
      </c>
      <c r="I16">
        <v>4</v>
      </c>
      <c r="J16" s="6">
        <v>26093</v>
      </c>
      <c r="K16" s="3">
        <v>0.15</v>
      </c>
      <c r="L16" s="6">
        <v>88716.2</v>
      </c>
      <c r="M16" s="6">
        <v>57508.24</v>
      </c>
      <c r="N16" s="6">
        <v>31207.96</v>
      </c>
      <c r="O16" t="s">
        <v>22</v>
      </c>
    </row>
    <row r="17" spans="1:15" x14ac:dyDescent="0.25">
      <c r="A17" t="s">
        <v>66</v>
      </c>
      <c r="B17" s="5">
        <v>45669</v>
      </c>
      <c r="C17" t="s">
        <v>67</v>
      </c>
      <c r="D17" t="s">
        <v>39</v>
      </c>
      <c r="E17" t="s">
        <v>25</v>
      </c>
      <c r="F17" t="s">
        <v>32</v>
      </c>
      <c r="G17" t="s">
        <v>20</v>
      </c>
      <c r="H17" t="s">
        <v>21</v>
      </c>
      <c r="I17">
        <v>5</v>
      </c>
      <c r="J17" s="6">
        <v>2295</v>
      </c>
      <c r="K17" s="3">
        <v>0.15</v>
      </c>
      <c r="L17" s="6">
        <v>9753.75</v>
      </c>
      <c r="M17" s="6">
        <v>6145.84</v>
      </c>
      <c r="N17" s="6">
        <v>3607.91</v>
      </c>
      <c r="O17" t="s">
        <v>43</v>
      </c>
    </row>
    <row r="18" spans="1:15" x14ac:dyDescent="0.25">
      <c r="A18" t="s">
        <v>68</v>
      </c>
      <c r="B18" s="5">
        <v>45669</v>
      </c>
      <c r="C18" t="s">
        <v>69</v>
      </c>
      <c r="D18" t="s">
        <v>39</v>
      </c>
      <c r="E18" t="s">
        <v>36</v>
      </c>
      <c r="F18" t="s">
        <v>19</v>
      </c>
      <c r="G18" t="s">
        <v>62</v>
      </c>
      <c r="H18" t="s">
        <v>21</v>
      </c>
      <c r="I18">
        <v>3</v>
      </c>
      <c r="J18" s="6">
        <v>3283</v>
      </c>
      <c r="K18" s="3">
        <v>0.05</v>
      </c>
      <c r="L18" s="6">
        <v>9356.5499999999993</v>
      </c>
      <c r="M18" s="6">
        <v>7538.56</v>
      </c>
      <c r="N18" s="6">
        <v>1817.99</v>
      </c>
      <c r="O18" t="s">
        <v>22</v>
      </c>
    </row>
    <row r="19" spans="1:15" x14ac:dyDescent="0.25">
      <c r="A19" t="s">
        <v>70</v>
      </c>
      <c r="B19" s="5">
        <v>45673</v>
      </c>
      <c r="C19" t="s">
        <v>38</v>
      </c>
      <c r="D19" t="s">
        <v>17</v>
      </c>
      <c r="E19" t="s">
        <v>31</v>
      </c>
      <c r="F19" t="s">
        <v>19</v>
      </c>
      <c r="G19" t="s">
        <v>41</v>
      </c>
      <c r="H19" t="s">
        <v>42</v>
      </c>
      <c r="I19">
        <v>8</v>
      </c>
      <c r="J19" s="6">
        <v>9770</v>
      </c>
      <c r="K19" s="3">
        <v>0</v>
      </c>
      <c r="L19" s="6">
        <v>78160</v>
      </c>
      <c r="M19" s="6">
        <v>56968.53</v>
      </c>
      <c r="N19" s="6">
        <v>21191.47</v>
      </c>
      <c r="O19" t="s">
        <v>58</v>
      </c>
    </row>
    <row r="20" spans="1:15" x14ac:dyDescent="0.25">
      <c r="A20" t="s">
        <v>71</v>
      </c>
      <c r="B20" s="5">
        <v>45674</v>
      </c>
      <c r="C20" t="s">
        <v>72</v>
      </c>
      <c r="D20" t="s">
        <v>17</v>
      </c>
      <c r="E20" t="s">
        <v>57</v>
      </c>
      <c r="F20" t="s">
        <v>32</v>
      </c>
      <c r="G20" t="s">
        <v>52</v>
      </c>
      <c r="H20" t="s">
        <v>53</v>
      </c>
      <c r="I20">
        <v>8</v>
      </c>
      <c r="J20" s="6">
        <v>61872</v>
      </c>
      <c r="K20" s="3">
        <v>0</v>
      </c>
      <c r="L20" s="6">
        <v>494976</v>
      </c>
      <c r="M20" s="6">
        <v>306777</v>
      </c>
      <c r="N20" s="6">
        <v>188199</v>
      </c>
      <c r="O20" t="s">
        <v>43</v>
      </c>
    </row>
    <row r="21" spans="1:15" x14ac:dyDescent="0.25">
      <c r="A21" t="s">
        <v>73</v>
      </c>
      <c r="B21" s="5">
        <v>45676</v>
      </c>
      <c r="C21" t="s">
        <v>67</v>
      </c>
      <c r="D21" t="s">
        <v>17</v>
      </c>
      <c r="E21" t="s">
        <v>36</v>
      </c>
      <c r="F21" t="s">
        <v>32</v>
      </c>
      <c r="G21" t="s">
        <v>64</v>
      </c>
      <c r="H21" t="s">
        <v>53</v>
      </c>
      <c r="I21">
        <v>6</v>
      </c>
      <c r="J21" s="6">
        <v>27958</v>
      </c>
      <c r="K21" s="3">
        <v>0</v>
      </c>
      <c r="L21" s="6">
        <v>167748</v>
      </c>
      <c r="M21" s="6">
        <v>117944.51</v>
      </c>
      <c r="N21" s="6">
        <v>49803.49</v>
      </c>
      <c r="O21" t="s">
        <v>74</v>
      </c>
    </row>
    <row r="22" spans="1:15" x14ac:dyDescent="0.25">
      <c r="A22" t="s">
        <v>75</v>
      </c>
      <c r="B22" s="5">
        <v>45677</v>
      </c>
      <c r="C22" t="s">
        <v>69</v>
      </c>
      <c r="D22" t="s">
        <v>17</v>
      </c>
      <c r="E22" t="s">
        <v>40</v>
      </c>
      <c r="F22" t="s">
        <v>26</v>
      </c>
      <c r="G22" t="s">
        <v>52</v>
      </c>
      <c r="H22" t="s">
        <v>53</v>
      </c>
      <c r="I22">
        <v>7</v>
      </c>
      <c r="J22" s="6">
        <v>69865</v>
      </c>
      <c r="K22" s="3">
        <v>0.1</v>
      </c>
      <c r="L22" s="6">
        <v>440149.5</v>
      </c>
      <c r="M22" s="6">
        <v>334139.07</v>
      </c>
      <c r="N22" s="6">
        <v>106010.43</v>
      </c>
      <c r="O22" t="s">
        <v>43</v>
      </c>
    </row>
    <row r="23" spans="1:15" x14ac:dyDescent="0.25">
      <c r="A23" t="s">
        <v>76</v>
      </c>
      <c r="B23" s="5">
        <v>45678</v>
      </c>
      <c r="C23" t="s">
        <v>38</v>
      </c>
      <c r="D23" t="s">
        <v>39</v>
      </c>
      <c r="E23" t="s">
        <v>18</v>
      </c>
      <c r="F23" t="s">
        <v>26</v>
      </c>
      <c r="G23" t="s">
        <v>77</v>
      </c>
      <c r="H23" t="s">
        <v>53</v>
      </c>
      <c r="I23">
        <v>4</v>
      </c>
      <c r="J23" s="6">
        <v>19789</v>
      </c>
      <c r="K23" s="3">
        <v>0.2</v>
      </c>
      <c r="L23" s="6">
        <v>63324.800000000003</v>
      </c>
      <c r="M23" s="6">
        <v>47135.78</v>
      </c>
      <c r="N23" s="6">
        <v>16189.02</v>
      </c>
      <c r="O23" t="s">
        <v>74</v>
      </c>
    </row>
    <row r="24" spans="1:15" x14ac:dyDescent="0.25">
      <c r="A24" t="s">
        <v>78</v>
      </c>
      <c r="B24" s="5">
        <v>45679</v>
      </c>
      <c r="C24" t="s">
        <v>79</v>
      </c>
      <c r="D24" t="s">
        <v>17</v>
      </c>
      <c r="E24" t="s">
        <v>46</v>
      </c>
      <c r="F24" t="s">
        <v>26</v>
      </c>
      <c r="G24" t="s">
        <v>20</v>
      </c>
      <c r="H24" t="s">
        <v>21</v>
      </c>
      <c r="I24">
        <v>1</v>
      </c>
      <c r="J24" s="6">
        <v>2731</v>
      </c>
      <c r="K24" s="3">
        <v>0</v>
      </c>
      <c r="L24" s="6">
        <v>2731</v>
      </c>
      <c r="M24" s="6">
        <v>2077.96</v>
      </c>
      <c r="N24" s="6">
        <v>653.04</v>
      </c>
      <c r="O24" t="s">
        <v>43</v>
      </c>
    </row>
    <row r="25" spans="1:15" x14ac:dyDescent="0.25">
      <c r="A25" t="s">
        <v>80</v>
      </c>
      <c r="B25" s="5">
        <v>45682</v>
      </c>
      <c r="C25" t="s">
        <v>72</v>
      </c>
      <c r="D25" t="s">
        <v>39</v>
      </c>
      <c r="E25" t="s">
        <v>36</v>
      </c>
      <c r="F25" t="s">
        <v>32</v>
      </c>
      <c r="G25" t="s">
        <v>62</v>
      </c>
      <c r="H25" t="s">
        <v>21</v>
      </c>
      <c r="I25">
        <v>2</v>
      </c>
      <c r="J25" s="6">
        <v>3197</v>
      </c>
      <c r="K25" s="3">
        <v>0</v>
      </c>
      <c r="L25" s="6">
        <v>6394</v>
      </c>
      <c r="M25" s="6">
        <v>4026.54</v>
      </c>
      <c r="N25" s="6">
        <v>2367.46</v>
      </c>
      <c r="O25" t="s">
        <v>43</v>
      </c>
    </row>
    <row r="26" spans="1:15" x14ac:dyDescent="0.25">
      <c r="A26" t="s">
        <v>81</v>
      </c>
      <c r="B26" s="5">
        <v>45682</v>
      </c>
      <c r="C26" t="s">
        <v>35</v>
      </c>
      <c r="D26" t="s">
        <v>48</v>
      </c>
      <c r="E26" t="s">
        <v>18</v>
      </c>
      <c r="F26" t="s">
        <v>26</v>
      </c>
      <c r="G26" t="s">
        <v>82</v>
      </c>
      <c r="H26" t="s">
        <v>21</v>
      </c>
      <c r="I26">
        <v>5</v>
      </c>
      <c r="J26" s="6">
        <v>1233</v>
      </c>
      <c r="K26" s="3">
        <v>0.1</v>
      </c>
      <c r="L26" s="6">
        <v>5548.5</v>
      </c>
      <c r="M26" s="6">
        <v>4154.43</v>
      </c>
      <c r="N26" s="6">
        <v>1394.07</v>
      </c>
      <c r="O26" t="s">
        <v>58</v>
      </c>
    </row>
    <row r="27" spans="1:15" x14ac:dyDescent="0.25">
      <c r="A27" t="s">
        <v>83</v>
      </c>
      <c r="B27" s="5">
        <v>45683</v>
      </c>
      <c r="C27" t="s">
        <v>24</v>
      </c>
      <c r="D27" t="s">
        <v>17</v>
      </c>
      <c r="E27" t="s">
        <v>18</v>
      </c>
      <c r="F27" t="s">
        <v>32</v>
      </c>
      <c r="G27" t="s">
        <v>62</v>
      </c>
      <c r="H27" t="s">
        <v>21</v>
      </c>
      <c r="I27">
        <v>2</v>
      </c>
      <c r="J27" s="6">
        <v>3435</v>
      </c>
      <c r="K27" s="3">
        <v>0</v>
      </c>
      <c r="L27" s="6">
        <v>6870</v>
      </c>
      <c r="M27" s="6">
        <v>5114.1000000000004</v>
      </c>
      <c r="N27" s="6">
        <v>1755.9</v>
      </c>
      <c r="O27" t="s">
        <v>22</v>
      </c>
    </row>
    <row r="28" spans="1:15" x14ac:dyDescent="0.25">
      <c r="A28" t="s">
        <v>84</v>
      </c>
      <c r="B28" s="5">
        <v>45683</v>
      </c>
      <c r="C28" t="s">
        <v>79</v>
      </c>
      <c r="D28" t="s">
        <v>48</v>
      </c>
      <c r="E28" t="s">
        <v>31</v>
      </c>
      <c r="F28" t="s">
        <v>19</v>
      </c>
      <c r="G28" t="s">
        <v>82</v>
      </c>
      <c r="H28" t="s">
        <v>21</v>
      </c>
      <c r="I28">
        <v>1</v>
      </c>
      <c r="J28" s="6">
        <v>1100</v>
      </c>
      <c r="K28" s="3">
        <v>0.1</v>
      </c>
      <c r="L28" s="6">
        <v>990</v>
      </c>
      <c r="M28" s="6">
        <v>808.81</v>
      </c>
      <c r="N28" s="6">
        <v>181.19</v>
      </c>
      <c r="O28" t="s">
        <v>27</v>
      </c>
    </row>
    <row r="29" spans="1:15" x14ac:dyDescent="0.25">
      <c r="A29" t="s">
        <v>85</v>
      </c>
      <c r="B29" s="5">
        <v>45684</v>
      </c>
      <c r="C29" t="s">
        <v>16</v>
      </c>
      <c r="D29" t="s">
        <v>39</v>
      </c>
      <c r="E29" t="s">
        <v>25</v>
      </c>
      <c r="F29" t="s">
        <v>19</v>
      </c>
      <c r="G29" t="s">
        <v>86</v>
      </c>
      <c r="H29" t="s">
        <v>42</v>
      </c>
      <c r="I29">
        <v>7</v>
      </c>
      <c r="J29" s="6">
        <v>12897</v>
      </c>
      <c r="K29" s="3">
        <v>0.1</v>
      </c>
      <c r="L29" s="6">
        <v>81251.100000000006</v>
      </c>
      <c r="M29" s="6">
        <v>59485.04</v>
      </c>
      <c r="N29" s="6">
        <v>21766.06</v>
      </c>
      <c r="O29" t="s">
        <v>22</v>
      </c>
    </row>
    <row r="30" spans="1:15" x14ac:dyDescent="0.25">
      <c r="A30" t="s">
        <v>87</v>
      </c>
      <c r="B30" s="5">
        <v>45685</v>
      </c>
      <c r="C30" t="s">
        <v>88</v>
      </c>
      <c r="D30" t="s">
        <v>48</v>
      </c>
      <c r="E30" t="s">
        <v>25</v>
      </c>
      <c r="F30" t="s">
        <v>26</v>
      </c>
      <c r="G30" t="s">
        <v>64</v>
      </c>
      <c r="H30" t="s">
        <v>53</v>
      </c>
      <c r="I30">
        <v>6</v>
      </c>
      <c r="J30" s="6">
        <v>27790</v>
      </c>
      <c r="K30" s="3">
        <v>0.1</v>
      </c>
      <c r="L30" s="6">
        <v>150066</v>
      </c>
      <c r="M30" s="6">
        <v>91250.68</v>
      </c>
      <c r="N30" s="6">
        <v>58815.32</v>
      </c>
      <c r="O30" t="s">
        <v>58</v>
      </c>
    </row>
    <row r="31" spans="1:15" x14ac:dyDescent="0.25">
      <c r="A31" t="s">
        <v>89</v>
      </c>
      <c r="B31" s="5">
        <v>45686</v>
      </c>
      <c r="C31" t="s">
        <v>51</v>
      </c>
      <c r="D31" t="s">
        <v>17</v>
      </c>
      <c r="E31" t="s">
        <v>49</v>
      </c>
      <c r="F31" t="s">
        <v>19</v>
      </c>
      <c r="G31" t="s">
        <v>62</v>
      </c>
      <c r="H31" t="s">
        <v>21</v>
      </c>
      <c r="I31">
        <v>3</v>
      </c>
      <c r="J31" s="6">
        <v>3352</v>
      </c>
      <c r="K31" s="3">
        <v>0.05</v>
      </c>
      <c r="L31" s="6">
        <v>9553.2000000000007</v>
      </c>
      <c r="M31" s="6">
        <v>7243.14</v>
      </c>
      <c r="N31" s="6">
        <v>2310.06</v>
      </c>
      <c r="O31" t="s">
        <v>27</v>
      </c>
    </row>
    <row r="32" spans="1:15" x14ac:dyDescent="0.25">
      <c r="A32" t="s">
        <v>90</v>
      </c>
      <c r="B32" s="5">
        <v>45686</v>
      </c>
      <c r="C32" t="s">
        <v>91</v>
      </c>
      <c r="D32" t="s">
        <v>48</v>
      </c>
      <c r="E32" t="s">
        <v>18</v>
      </c>
      <c r="F32" t="s">
        <v>19</v>
      </c>
      <c r="G32" t="s">
        <v>52</v>
      </c>
      <c r="H32" t="s">
        <v>53</v>
      </c>
      <c r="I32">
        <v>5</v>
      </c>
      <c r="J32" s="6">
        <v>58988</v>
      </c>
      <c r="K32" s="3">
        <v>0.1</v>
      </c>
      <c r="L32" s="6">
        <v>265446</v>
      </c>
      <c r="M32" s="6">
        <v>193182.73</v>
      </c>
      <c r="N32" s="6">
        <v>72263.27</v>
      </c>
      <c r="O32" t="s">
        <v>74</v>
      </c>
    </row>
    <row r="33" spans="1:15" x14ac:dyDescent="0.25">
      <c r="A33" t="s">
        <v>92</v>
      </c>
      <c r="B33" s="5">
        <v>45688</v>
      </c>
      <c r="C33" t="s">
        <v>29</v>
      </c>
      <c r="D33" t="s">
        <v>30</v>
      </c>
      <c r="E33" t="s">
        <v>31</v>
      </c>
      <c r="F33" t="s">
        <v>19</v>
      </c>
      <c r="G33" t="s">
        <v>64</v>
      </c>
      <c r="H33" t="s">
        <v>53</v>
      </c>
      <c r="I33">
        <v>3</v>
      </c>
      <c r="J33" s="6">
        <v>28355</v>
      </c>
      <c r="K33" s="3">
        <v>0.15</v>
      </c>
      <c r="L33" s="6">
        <v>72305.25</v>
      </c>
      <c r="M33" s="6">
        <v>45564.79</v>
      </c>
      <c r="N33" s="6">
        <v>26740.46</v>
      </c>
      <c r="O33" t="s">
        <v>58</v>
      </c>
    </row>
    <row r="34" spans="1:15" x14ac:dyDescent="0.25">
      <c r="A34" t="s">
        <v>93</v>
      </c>
      <c r="B34" s="5">
        <v>45689</v>
      </c>
      <c r="C34" t="s">
        <v>29</v>
      </c>
      <c r="D34" t="s">
        <v>48</v>
      </c>
      <c r="E34" t="s">
        <v>31</v>
      </c>
      <c r="F34" t="s">
        <v>32</v>
      </c>
      <c r="G34" t="s">
        <v>64</v>
      </c>
      <c r="H34" t="s">
        <v>53</v>
      </c>
      <c r="I34">
        <v>5</v>
      </c>
      <c r="J34" s="6">
        <v>26122</v>
      </c>
      <c r="K34" s="3">
        <v>0.05</v>
      </c>
      <c r="L34" s="6">
        <v>124079.5</v>
      </c>
      <c r="M34" s="6">
        <v>95105.12</v>
      </c>
      <c r="N34" s="6">
        <v>28974.38</v>
      </c>
      <c r="O34" t="s">
        <v>43</v>
      </c>
    </row>
    <row r="35" spans="1:15" x14ac:dyDescent="0.25">
      <c r="A35" t="s">
        <v>94</v>
      </c>
      <c r="B35" s="5">
        <v>45690</v>
      </c>
      <c r="C35" t="s">
        <v>38</v>
      </c>
      <c r="D35" t="s">
        <v>39</v>
      </c>
      <c r="E35" t="s">
        <v>36</v>
      </c>
      <c r="F35" t="s">
        <v>32</v>
      </c>
      <c r="G35" t="s">
        <v>64</v>
      </c>
      <c r="H35" t="s">
        <v>53</v>
      </c>
      <c r="I35">
        <v>2</v>
      </c>
      <c r="J35" s="6">
        <v>26450</v>
      </c>
      <c r="K35" s="3">
        <v>0.1</v>
      </c>
      <c r="L35" s="6">
        <v>47610</v>
      </c>
      <c r="M35" s="6">
        <v>34543.1</v>
      </c>
      <c r="N35" s="6">
        <v>13066.9</v>
      </c>
      <c r="O35" t="s">
        <v>43</v>
      </c>
    </row>
    <row r="36" spans="1:15" x14ac:dyDescent="0.25">
      <c r="A36" t="s">
        <v>95</v>
      </c>
      <c r="B36" s="5">
        <v>45690</v>
      </c>
      <c r="C36" t="s">
        <v>96</v>
      </c>
      <c r="D36" t="s">
        <v>17</v>
      </c>
      <c r="E36" t="s">
        <v>40</v>
      </c>
      <c r="F36" t="s">
        <v>26</v>
      </c>
      <c r="G36" t="s">
        <v>52</v>
      </c>
      <c r="H36" t="s">
        <v>53</v>
      </c>
      <c r="I36">
        <v>5</v>
      </c>
      <c r="J36" s="6">
        <v>65593</v>
      </c>
      <c r="K36" s="3">
        <v>0.15</v>
      </c>
      <c r="L36" s="6">
        <v>278770.25</v>
      </c>
      <c r="M36" s="6">
        <v>190941.61</v>
      </c>
      <c r="N36" s="6">
        <v>87828.64</v>
      </c>
      <c r="O36" t="s">
        <v>43</v>
      </c>
    </row>
    <row r="37" spans="1:15" x14ac:dyDescent="0.25">
      <c r="A37" t="s">
        <v>97</v>
      </c>
      <c r="B37" s="5">
        <v>45691</v>
      </c>
      <c r="C37" t="s">
        <v>72</v>
      </c>
      <c r="D37" t="s">
        <v>17</v>
      </c>
      <c r="E37" t="s">
        <v>46</v>
      </c>
      <c r="F37" t="s">
        <v>19</v>
      </c>
      <c r="G37" t="s">
        <v>20</v>
      </c>
      <c r="H37" t="s">
        <v>21</v>
      </c>
      <c r="I37">
        <v>1</v>
      </c>
      <c r="J37" s="6">
        <v>2272</v>
      </c>
      <c r="K37" s="3">
        <v>0.15</v>
      </c>
      <c r="L37" s="6">
        <v>1931.2</v>
      </c>
      <c r="M37" s="6">
        <v>1316.65</v>
      </c>
      <c r="N37" s="6">
        <v>614.54999999999995</v>
      </c>
      <c r="O37" t="s">
        <v>58</v>
      </c>
    </row>
    <row r="38" spans="1:15" x14ac:dyDescent="0.25">
      <c r="A38" t="s">
        <v>98</v>
      </c>
      <c r="B38" s="5">
        <v>45692</v>
      </c>
      <c r="C38" t="s">
        <v>69</v>
      </c>
      <c r="D38" t="s">
        <v>30</v>
      </c>
      <c r="E38" t="s">
        <v>49</v>
      </c>
      <c r="F38" t="s">
        <v>32</v>
      </c>
      <c r="G38" t="s">
        <v>52</v>
      </c>
      <c r="H38" t="s">
        <v>53</v>
      </c>
      <c r="I38">
        <v>8</v>
      </c>
      <c r="J38" s="6">
        <v>60802</v>
      </c>
      <c r="K38" s="3">
        <v>0.15</v>
      </c>
      <c r="L38" s="6">
        <v>413453.6</v>
      </c>
      <c r="M38" s="6">
        <v>334841.3</v>
      </c>
      <c r="N38" s="6">
        <v>78612.3</v>
      </c>
      <c r="O38" t="s">
        <v>22</v>
      </c>
    </row>
    <row r="39" spans="1:15" x14ac:dyDescent="0.25">
      <c r="A39" t="s">
        <v>99</v>
      </c>
      <c r="B39" s="5">
        <v>45693</v>
      </c>
      <c r="C39" t="s">
        <v>69</v>
      </c>
      <c r="D39" t="s">
        <v>39</v>
      </c>
      <c r="E39" t="s">
        <v>18</v>
      </c>
      <c r="F39" t="s">
        <v>19</v>
      </c>
      <c r="G39" t="s">
        <v>33</v>
      </c>
      <c r="H39" t="s">
        <v>21</v>
      </c>
      <c r="I39">
        <v>1</v>
      </c>
      <c r="J39" s="6">
        <v>4505</v>
      </c>
      <c r="K39" s="3">
        <v>0.15</v>
      </c>
      <c r="L39" s="6">
        <v>3829.25</v>
      </c>
      <c r="M39" s="6">
        <v>3035.79</v>
      </c>
      <c r="N39" s="6">
        <v>793.46</v>
      </c>
      <c r="O39" t="s">
        <v>58</v>
      </c>
    </row>
    <row r="40" spans="1:15" x14ac:dyDescent="0.25">
      <c r="A40" t="s">
        <v>100</v>
      </c>
      <c r="B40" s="5">
        <v>45695</v>
      </c>
      <c r="C40" t="s">
        <v>38</v>
      </c>
      <c r="D40" t="s">
        <v>17</v>
      </c>
      <c r="E40" t="s">
        <v>40</v>
      </c>
      <c r="F40" t="s">
        <v>32</v>
      </c>
      <c r="G40" t="s">
        <v>64</v>
      </c>
      <c r="H40" t="s">
        <v>53</v>
      </c>
      <c r="I40">
        <v>5</v>
      </c>
      <c r="J40" s="6">
        <v>30155</v>
      </c>
      <c r="K40" s="3">
        <v>0.1</v>
      </c>
      <c r="L40" s="6">
        <v>135697.5</v>
      </c>
      <c r="M40" s="6">
        <v>89701.78</v>
      </c>
      <c r="N40" s="6">
        <v>45995.72</v>
      </c>
      <c r="O40" t="s">
        <v>43</v>
      </c>
    </row>
    <row r="41" spans="1:15" x14ac:dyDescent="0.25">
      <c r="A41" t="s">
        <v>101</v>
      </c>
      <c r="B41" s="5">
        <v>45696</v>
      </c>
      <c r="C41" t="s">
        <v>88</v>
      </c>
      <c r="D41" t="s">
        <v>17</v>
      </c>
      <c r="E41" t="s">
        <v>46</v>
      </c>
      <c r="F41" t="s">
        <v>19</v>
      </c>
      <c r="G41" t="s">
        <v>41</v>
      </c>
      <c r="H41" t="s">
        <v>42</v>
      </c>
      <c r="I41">
        <v>1</v>
      </c>
      <c r="J41" s="6">
        <v>9959</v>
      </c>
      <c r="K41" s="3">
        <v>0.05</v>
      </c>
      <c r="L41" s="6">
        <v>9461.0499999999993</v>
      </c>
      <c r="M41" s="6">
        <v>5950.66</v>
      </c>
      <c r="N41" s="6">
        <v>3510.39</v>
      </c>
      <c r="O41" t="s">
        <v>58</v>
      </c>
    </row>
    <row r="42" spans="1:15" x14ac:dyDescent="0.25">
      <c r="A42" t="s">
        <v>102</v>
      </c>
      <c r="B42" s="5">
        <v>45696</v>
      </c>
      <c r="C42" t="s">
        <v>51</v>
      </c>
      <c r="D42" t="s">
        <v>17</v>
      </c>
      <c r="E42" t="s">
        <v>57</v>
      </c>
      <c r="F42" t="s">
        <v>32</v>
      </c>
      <c r="G42" t="s">
        <v>41</v>
      </c>
      <c r="H42" t="s">
        <v>42</v>
      </c>
      <c r="I42">
        <v>7</v>
      </c>
      <c r="J42" s="6">
        <v>9541</v>
      </c>
      <c r="K42" s="3">
        <v>0.05</v>
      </c>
      <c r="L42" s="6">
        <v>63447.65</v>
      </c>
      <c r="M42" s="6">
        <v>45497.919999999998</v>
      </c>
      <c r="N42" s="6">
        <v>17949.73</v>
      </c>
      <c r="O42" t="s">
        <v>43</v>
      </c>
    </row>
    <row r="43" spans="1:15" x14ac:dyDescent="0.25">
      <c r="A43" t="s">
        <v>103</v>
      </c>
      <c r="B43" s="5">
        <v>45697</v>
      </c>
      <c r="C43" t="s">
        <v>96</v>
      </c>
      <c r="D43" t="s">
        <v>30</v>
      </c>
      <c r="E43" t="s">
        <v>40</v>
      </c>
      <c r="F43" t="s">
        <v>19</v>
      </c>
      <c r="G43" t="s">
        <v>77</v>
      </c>
      <c r="H43" t="s">
        <v>53</v>
      </c>
      <c r="I43">
        <v>6</v>
      </c>
      <c r="J43" s="6">
        <v>19327</v>
      </c>
      <c r="K43" s="3">
        <v>0.1</v>
      </c>
      <c r="L43" s="6">
        <v>104365.8</v>
      </c>
      <c r="M43" s="6">
        <v>79742.33</v>
      </c>
      <c r="N43" s="6">
        <v>24623.47</v>
      </c>
      <c r="O43" t="s">
        <v>43</v>
      </c>
    </row>
    <row r="44" spans="1:15" x14ac:dyDescent="0.25">
      <c r="A44" t="s">
        <v>104</v>
      </c>
      <c r="B44" s="5">
        <v>45697</v>
      </c>
      <c r="C44" t="s">
        <v>38</v>
      </c>
      <c r="D44" t="s">
        <v>48</v>
      </c>
      <c r="E44" t="s">
        <v>31</v>
      </c>
      <c r="F44" t="s">
        <v>32</v>
      </c>
      <c r="G44" t="s">
        <v>52</v>
      </c>
      <c r="H44" t="s">
        <v>53</v>
      </c>
      <c r="I44">
        <v>6</v>
      </c>
      <c r="J44" s="6">
        <v>65276</v>
      </c>
      <c r="K44" s="3">
        <v>0.15</v>
      </c>
      <c r="L44" s="6">
        <v>332907.59999999998</v>
      </c>
      <c r="M44" s="6">
        <v>217709.19</v>
      </c>
      <c r="N44" s="6">
        <v>115198.41</v>
      </c>
      <c r="O44" t="s">
        <v>22</v>
      </c>
    </row>
    <row r="45" spans="1:15" x14ac:dyDescent="0.25">
      <c r="A45" t="s">
        <v>105</v>
      </c>
      <c r="B45" s="5">
        <v>45697</v>
      </c>
      <c r="C45" t="s">
        <v>24</v>
      </c>
      <c r="D45" t="s">
        <v>17</v>
      </c>
      <c r="E45" t="s">
        <v>46</v>
      </c>
      <c r="F45" t="s">
        <v>32</v>
      </c>
      <c r="G45" t="s">
        <v>62</v>
      </c>
      <c r="H45" t="s">
        <v>21</v>
      </c>
      <c r="I45">
        <v>5</v>
      </c>
      <c r="J45" s="6">
        <v>3684</v>
      </c>
      <c r="K45" s="3">
        <v>0.15</v>
      </c>
      <c r="L45" s="6">
        <v>15657</v>
      </c>
      <c r="M45" s="6">
        <v>12456.01</v>
      </c>
      <c r="N45" s="6">
        <v>3200.99</v>
      </c>
      <c r="O45" t="s">
        <v>74</v>
      </c>
    </row>
    <row r="46" spans="1:15" x14ac:dyDescent="0.25">
      <c r="A46" t="s">
        <v>106</v>
      </c>
      <c r="B46" s="5">
        <v>45698</v>
      </c>
      <c r="C46" t="s">
        <v>72</v>
      </c>
      <c r="D46" t="s">
        <v>30</v>
      </c>
      <c r="E46" t="s">
        <v>25</v>
      </c>
      <c r="F46" t="s">
        <v>19</v>
      </c>
      <c r="G46" t="s">
        <v>107</v>
      </c>
      <c r="H46" t="s">
        <v>108</v>
      </c>
      <c r="I46">
        <v>4</v>
      </c>
      <c r="J46" s="6">
        <v>14715</v>
      </c>
      <c r="K46" s="3">
        <v>0.1</v>
      </c>
      <c r="L46" s="6">
        <v>52974</v>
      </c>
      <c r="M46" s="6">
        <v>38537.06</v>
      </c>
      <c r="N46" s="6">
        <v>14436.94</v>
      </c>
      <c r="O46" t="s">
        <v>74</v>
      </c>
    </row>
    <row r="47" spans="1:15" x14ac:dyDescent="0.25">
      <c r="A47" t="s">
        <v>109</v>
      </c>
      <c r="B47" s="5">
        <v>45698</v>
      </c>
      <c r="C47" t="s">
        <v>16</v>
      </c>
      <c r="D47" t="s">
        <v>17</v>
      </c>
      <c r="E47" t="s">
        <v>25</v>
      </c>
      <c r="F47" t="s">
        <v>32</v>
      </c>
      <c r="G47" t="s">
        <v>20</v>
      </c>
      <c r="H47" t="s">
        <v>21</v>
      </c>
      <c r="I47">
        <v>7</v>
      </c>
      <c r="J47" s="6">
        <v>2305</v>
      </c>
      <c r="K47" s="3">
        <v>0.1</v>
      </c>
      <c r="L47" s="6">
        <v>14521.5</v>
      </c>
      <c r="M47" s="6">
        <v>11175.34</v>
      </c>
      <c r="N47" s="6">
        <v>3346.16</v>
      </c>
      <c r="O47" t="s">
        <v>22</v>
      </c>
    </row>
    <row r="48" spans="1:15" x14ac:dyDescent="0.25">
      <c r="A48" t="s">
        <v>110</v>
      </c>
      <c r="B48" s="5">
        <v>45698</v>
      </c>
      <c r="C48" t="s">
        <v>35</v>
      </c>
      <c r="D48" t="s">
        <v>39</v>
      </c>
      <c r="E48" t="s">
        <v>46</v>
      </c>
      <c r="F48" t="s">
        <v>32</v>
      </c>
      <c r="G48" t="s">
        <v>86</v>
      </c>
      <c r="H48" t="s">
        <v>42</v>
      </c>
      <c r="I48">
        <v>5</v>
      </c>
      <c r="J48" s="6">
        <v>10886</v>
      </c>
      <c r="K48" s="3">
        <v>0</v>
      </c>
      <c r="L48" s="6">
        <v>54430</v>
      </c>
      <c r="M48" s="6">
        <v>43037.23</v>
      </c>
      <c r="N48" s="6">
        <v>11392.77</v>
      </c>
      <c r="O48" t="s">
        <v>58</v>
      </c>
    </row>
    <row r="49" spans="1:15" x14ac:dyDescent="0.25">
      <c r="A49" t="s">
        <v>111</v>
      </c>
      <c r="B49" s="5">
        <v>45699</v>
      </c>
      <c r="C49" t="s">
        <v>91</v>
      </c>
      <c r="D49" t="s">
        <v>30</v>
      </c>
      <c r="E49" t="s">
        <v>49</v>
      </c>
      <c r="F49" t="s">
        <v>19</v>
      </c>
      <c r="G49" t="s">
        <v>107</v>
      </c>
      <c r="H49" t="s">
        <v>108</v>
      </c>
      <c r="I49">
        <v>5</v>
      </c>
      <c r="J49" s="6">
        <v>15652</v>
      </c>
      <c r="K49" s="3">
        <v>0.1</v>
      </c>
      <c r="L49" s="6">
        <v>70434</v>
      </c>
      <c r="M49" s="6">
        <v>57620.39</v>
      </c>
      <c r="N49" s="6">
        <v>12813.61</v>
      </c>
      <c r="O49" t="s">
        <v>27</v>
      </c>
    </row>
    <row r="50" spans="1:15" x14ac:dyDescent="0.25">
      <c r="A50" t="s">
        <v>112</v>
      </c>
      <c r="B50" s="5">
        <v>45699</v>
      </c>
      <c r="C50" t="s">
        <v>79</v>
      </c>
      <c r="D50" t="s">
        <v>17</v>
      </c>
      <c r="E50" t="s">
        <v>46</v>
      </c>
      <c r="F50" t="s">
        <v>26</v>
      </c>
      <c r="G50" t="s">
        <v>77</v>
      </c>
      <c r="H50" t="s">
        <v>53</v>
      </c>
      <c r="I50">
        <v>8</v>
      </c>
      <c r="J50" s="6">
        <v>18752</v>
      </c>
      <c r="K50" s="3">
        <v>0</v>
      </c>
      <c r="L50" s="6">
        <v>150016</v>
      </c>
      <c r="M50" s="6">
        <v>106757.12</v>
      </c>
      <c r="N50" s="6">
        <v>43258.879999999997</v>
      </c>
      <c r="O50" t="s">
        <v>43</v>
      </c>
    </row>
    <row r="51" spans="1:15" x14ac:dyDescent="0.25">
      <c r="A51" t="s">
        <v>113</v>
      </c>
      <c r="B51" s="5">
        <v>45699</v>
      </c>
      <c r="C51" t="s">
        <v>72</v>
      </c>
      <c r="D51" t="s">
        <v>30</v>
      </c>
      <c r="E51" t="s">
        <v>46</v>
      </c>
      <c r="F51" t="s">
        <v>26</v>
      </c>
      <c r="G51" t="s">
        <v>20</v>
      </c>
      <c r="H51" t="s">
        <v>21</v>
      </c>
      <c r="I51">
        <v>7</v>
      </c>
      <c r="J51" s="6">
        <v>2697</v>
      </c>
      <c r="K51" s="3">
        <v>0.1</v>
      </c>
      <c r="L51" s="6">
        <v>16991.099999999999</v>
      </c>
      <c r="M51" s="6">
        <v>12300.21</v>
      </c>
      <c r="N51" s="6">
        <v>4690.8900000000003</v>
      </c>
      <c r="O51" t="s">
        <v>22</v>
      </c>
    </row>
    <row r="52" spans="1:15" x14ac:dyDescent="0.25">
      <c r="A52" t="s">
        <v>114</v>
      </c>
      <c r="B52" s="5">
        <v>45701</v>
      </c>
      <c r="C52" t="s">
        <v>96</v>
      </c>
      <c r="D52" t="s">
        <v>48</v>
      </c>
      <c r="E52" t="s">
        <v>31</v>
      </c>
      <c r="F52" t="s">
        <v>32</v>
      </c>
      <c r="G52" t="s">
        <v>41</v>
      </c>
      <c r="H52" t="s">
        <v>42</v>
      </c>
      <c r="I52">
        <v>8</v>
      </c>
      <c r="J52" s="6">
        <v>9712</v>
      </c>
      <c r="K52" s="3">
        <v>0.05</v>
      </c>
      <c r="L52" s="6">
        <v>73811.199999999997</v>
      </c>
      <c r="M52" s="6">
        <v>48432.99</v>
      </c>
      <c r="N52" s="6">
        <v>25378.21</v>
      </c>
      <c r="O52" t="s">
        <v>27</v>
      </c>
    </row>
    <row r="53" spans="1:15" x14ac:dyDescent="0.25">
      <c r="A53" t="s">
        <v>115</v>
      </c>
      <c r="B53" s="5">
        <v>45701</v>
      </c>
      <c r="C53" t="s">
        <v>96</v>
      </c>
      <c r="D53" t="s">
        <v>48</v>
      </c>
      <c r="E53" t="s">
        <v>49</v>
      </c>
      <c r="F53" t="s">
        <v>26</v>
      </c>
      <c r="G53" t="s">
        <v>64</v>
      </c>
      <c r="H53" t="s">
        <v>53</v>
      </c>
      <c r="I53">
        <v>7</v>
      </c>
      <c r="J53" s="6">
        <v>28631</v>
      </c>
      <c r="K53" s="3">
        <v>0.15</v>
      </c>
      <c r="L53" s="6">
        <v>170354.45</v>
      </c>
      <c r="M53" s="6">
        <v>127014.76</v>
      </c>
      <c r="N53" s="6">
        <v>43339.69</v>
      </c>
      <c r="O53" t="s">
        <v>27</v>
      </c>
    </row>
    <row r="54" spans="1:15" x14ac:dyDescent="0.25">
      <c r="A54" t="s">
        <v>116</v>
      </c>
      <c r="B54" s="5">
        <v>45702</v>
      </c>
      <c r="C54" t="s">
        <v>24</v>
      </c>
      <c r="D54" t="s">
        <v>30</v>
      </c>
      <c r="E54" t="s">
        <v>36</v>
      </c>
      <c r="F54" t="s">
        <v>19</v>
      </c>
      <c r="G54" t="s">
        <v>20</v>
      </c>
      <c r="H54" t="s">
        <v>21</v>
      </c>
      <c r="I54">
        <v>3</v>
      </c>
      <c r="J54" s="6">
        <v>2684</v>
      </c>
      <c r="K54" s="3">
        <v>0.1</v>
      </c>
      <c r="L54" s="6">
        <v>7246.8</v>
      </c>
      <c r="M54" s="6">
        <v>4528.13</v>
      </c>
      <c r="N54" s="6">
        <v>2718.67</v>
      </c>
      <c r="O54" t="s">
        <v>43</v>
      </c>
    </row>
    <row r="55" spans="1:15" x14ac:dyDescent="0.25">
      <c r="A55" t="s">
        <v>117</v>
      </c>
      <c r="B55" s="5">
        <v>45703</v>
      </c>
      <c r="C55" t="s">
        <v>72</v>
      </c>
      <c r="D55" t="s">
        <v>39</v>
      </c>
      <c r="E55" t="s">
        <v>57</v>
      </c>
      <c r="F55" t="s">
        <v>32</v>
      </c>
      <c r="G55" t="s">
        <v>86</v>
      </c>
      <c r="H55" t="s">
        <v>42</v>
      </c>
      <c r="I55">
        <v>6</v>
      </c>
      <c r="J55" s="6">
        <v>11081</v>
      </c>
      <c r="K55" s="3">
        <v>0</v>
      </c>
      <c r="L55" s="6">
        <v>66486</v>
      </c>
      <c r="M55" s="6">
        <v>49919.31</v>
      </c>
      <c r="N55" s="6">
        <v>16566.689999999999</v>
      </c>
      <c r="O55" t="s">
        <v>43</v>
      </c>
    </row>
    <row r="56" spans="1:15" x14ac:dyDescent="0.25">
      <c r="A56" t="s">
        <v>118</v>
      </c>
      <c r="B56" s="5">
        <v>45704</v>
      </c>
      <c r="C56" t="s">
        <v>51</v>
      </c>
      <c r="D56" t="s">
        <v>17</v>
      </c>
      <c r="E56" t="s">
        <v>49</v>
      </c>
      <c r="F56" t="s">
        <v>32</v>
      </c>
      <c r="G56" t="s">
        <v>41</v>
      </c>
      <c r="H56" t="s">
        <v>42</v>
      </c>
      <c r="I56">
        <v>2</v>
      </c>
      <c r="J56" s="6">
        <v>8850</v>
      </c>
      <c r="K56" s="3">
        <v>0.1</v>
      </c>
      <c r="L56" s="6">
        <v>15930</v>
      </c>
      <c r="M56" s="6">
        <v>12338.06</v>
      </c>
      <c r="N56" s="6">
        <v>3591.94</v>
      </c>
      <c r="O56" t="s">
        <v>58</v>
      </c>
    </row>
    <row r="57" spans="1:15" x14ac:dyDescent="0.25">
      <c r="A57" t="s">
        <v>119</v>
      </c>
      <c r="B57" s="5">
        <v>45705</v>
      </c>
      <c r="C57" t="s">
        <v>29</v>
      </c>
      <c r="D57" t="s">
        <v>48</v>
      </c>
      <c r="E57" t="s">
        <v>49</v>
      </c>
      <c r="F57" t="s">
        <v>32</v>
      </c>
      <c r="G57" t="s">
        <v>64</v>
      </c>
      <c r="H57" t="s">
        <v>53</v>
      </c>
      <c r="I57">
        <v>7</v>
      </c>
      <c r="J57" s="6">
        <v>28945</v>
      </c>
      <c r="K57" s="3">
        <v>0.1</v>
      </c>
      <c r="L57" s="6">
        <v>182353.5</v>
      </c>
      <c r="M57" s="6">
        <v>133133.65</v>
      </c>
      <c r="N57" s="6">
        <v>49219.85</v>
      </c>
      <c r="O57" t="s">
        <v>58</v>
      </c>
    </row>
    <row r="58" spans="1:15" x14ac:dyDescent="0.25">
      <c r="A58" t="s">
        <v>120</v>
      </c>
      <c r="B58" s="5">
        <v>45706</v>
      </c>
      <c r="C58" t="s">
        <v>72</v>
      </c>
      <c r="D58" t="s">
        <v>48</v>
      </c>
      <c r="E58" t="s">
        <v>40</v>
      </c>
      <c r="F58" t="s">
        <v>19</v>
      </c>
      <c r="G58" t="s">
        <v>82</v>
      </c>
      <c r="H58" t="s">
        <v>21</v>
      </c>
      <c r="I58">
        <v>5</v>
      </c>
      <c r="J58" s="6">
        <v>1152</v>
      </c>
      <c r="K58" s="3">
        <v>0.2</v>
      </c>
      <c r="L58" s="6">
        <v>4608</v>
      </c>
      <c r="M58" s="6">
        <v>2937.26</v>
      </c>
      <c r="N58" s="6">
        <v>1670.74</v>
      </c>
      <c r="O58" t="s">
        <v>27</v>
      </c>
    </row>
    <row r="59" spans="1:15" x14ac:dyDescent="0.25">
      <c r="A59" t="s">
        <v>121</v>
      </c>
      <c r="B59" s="5">
        <v>45709</v>
      </c>
      <c r="C59" t="s">
        <v>38</v>
      </c>
      <c r="D59" t="s">
        <v>39</v>
      </c>
      <c r="E59" t="s">
        <v>40</v>
      </c>
      <c r="F59" t="s">
        <v>19</v>
      </c>
      <c r="G59" t="s">
        <v>64</v>
      </c>
      <c r="H59" t="s">
        <v>53</v>
      </c>
      <c r="I59">
        <v>2</v>
      </c>
      <c r="J59" s="6">
        <v>29188</v>
      </c>
      <c r="K59" s="3">
        <v>0</v>
      </c>
      <c r="L59" s="6">
        <v>58376</v>
      </c>
      <c r="M59" s="6">
        <v>47839.3</v>
      </c>
      <c r="N59" s="6">
        <v>10536.7</v>
      </c>
      <c r="O59" t="s">
        <v>43</v>
      </c>
    </row>
    <row r="60" spans="1:15" x14ac:dyDescent="0.25">
      <c r="A60" t="s">
        <v>122</v>
      </c>
      <c r="B60" s="5">
        <v>45710</v>
      </c>
      <c r="C60" t="s">
        <v>29</v>
      </c>
      <c r="D60" t="s">
        <v>39</v>
      </c>
      <c r="E60" t="s">
        <v>36</v>
      </c>
      <c r="F60" t="s">
        <v>19</v>
      </c>
      <c r="G60" t="s">
        <v>62</v>
      </c>
      <c r="H60" t="s">
        <v>21</v>
      </c>
      <c r="I60">
        <v>2</v>
      </c>
      <c r="J60" s="6">
        <v>3160</v>
      </c>
      <c r="K60" s="3">
        <v>0.05</v>
      </c>
      <c r="L60" s="6">
        <v>6004</v>
      </c>
      <c r="M60" s="6">
        <v>4047.99</v>
      </c>
      <c r="N60" s="6">
        <v>1956.01</v>
      </c>
      <c r="O60" t="s">
        <v>27</v>
      </c>
    </row>
    <row r="61" spans="1:15" x14ac:dyDescent="0.25">
      <c r="A61" t="s">
        <v>123</v>
      </c>
      <c r="B61" s="5">
        <v>45711</v>
      </c>
      <c r="C61" t="s">
        <v>69</v>
      </c>
      <c r="D61" t="s">
        <v>17</v>
      </c>
      <c r="E61" t="s">
        <v>40</v>
      </c>
      <c r="F61" t="s">
        <v>19</v>
      </c>
      <c r="G61" t="s">
        <v>64</v>
      </c>
      <c r="H61" t="s">
        <v>53</v>
      </c>
      <c r="I61">
        <v>5</v>
      </c>
      <c r="J61" s="6">
        <v>27132</v>
      </c>
      <c r="K61" s="3">
        <v>0.1</v>
      </c>
      <c r="L61" s="6">
        <v>122094</v>
      </c>
      <c r="M61" s="6">
        <v>91540.61</v>
      </c>
      <c r="N61" s="6">
        <v>30553.39</v>
      </c>
      <c r="O61" t="s">
        <v>43</v>
      </c>
    </row>
    <row r="62" spans="1:15" x14ac:dyDescent="0.25">
      <c r="A62" t="s">
        <v>124</v>
      </c>
      <c r="B62" s="5">
        <v>45712</v>
      </c>
      <c r="C62" t="s">
        <v>79</v>
      </c>
      <c r="D62" t="s">
        <v>17</v>
      </c>
      <c r="E62" t="s">
        <v>49</v>
      </c>
      <c r="F62" t="s">
        <v>26</v>
      </c>
      <c r="G62" t="s">
        <v>41</v>
      </c>
      <c r="H62" t="s">
        <v>42</v>
      </c>
      <c r="I62">
        <v>6</v>
      </c>
      <c r="J62" s="6">
        <v>8806</v>
      </c>
      <c r="K62" s="3">
        <v>0.1</v>
      </c>
      <c r="L62" s="6">
        <v>47552.4</v>
      </c>
      <c r="M62" s="6">
        <v>31355.119999999999</v>
      </c>
      <c r="N62" s="6">
        <v>16197.28</v>
      </c>
      <c r="O62" t="s">
        <v>43</v>
      </c>
    </row>
    <row r="63" spans="1:15" x14ac:dyDescent="0.25">
      <c r="A63" t="s">
        <v>125</v>
      </c>
      <c r="B63" s="5">
        <v>45715</v>
      </c>
      <c r="C63" t="s">
        <v>16</v>
      </c>
      <c r="D63" t="s">
        <v>17</v>
      </c>
      <c r="E63" t="s">
        <v>46</v>
      </c>
      <c r="F63" t="s">
        <v>32</v>
      </c>
      <c r="G63" t="s">
        <v>33</v>
      </c>
      <c r="H63" t="s">
        <v>21</v>
      </c>
      <c r="I63">
        <v>1</v>
      </c>
      <c r="J63" s="6">
        <v>4448</v>
      </c>
      <c r="K63" s="3">
        <v>0.05</v>
      </c>
      <c r="L63" s="6">
        <v>4225.6000000000004</v>
      </c>
      <c r="M63" s="6">
        <v>2622.63</v>
      </c>
      <c r="N63" s="6">
        <v>1602.97</v>
      </c>
      <c r="O63" t="s">
        <v>74</v>
      </c>
    </row>
    <row r="64" spans="1:15" x14ac:dyDescent="0.25">
      <c r="A64" t="s">
        <v>126</v>
      </c>
      <c r="B64" s="5">
        <v>45715</v>
      </c>
      <c r="C64" t="s">
        <v>91</v>
      </c>
      <c r="D64" t="s">
        <v>48</v>
      </c>
      <c r="E64" t="s">
        <v>57</v>
      </c>
      <c r="F64" t="s">
        <v>26</v>
      </c>
      <c r="G64" t="s">
        <v>52</v>
      </c>
      <c r="H64" t="s">
        <v>53</v>
      </c>
      <c r="I64">
        <v>1</v>
      </c>
      <c r="J64" s="6">
        <v>63009</v>
      </c>
      <c r="K64" s="3">
        <v>0.05</v>
      </c>
      <c r="L64" s="6">
        <v>59858.55</v>
      </c>
      <c r="M64" s="6">
        <v>46377.55</v>
      </c>
      <c r="N64" s="6">
        <v>13481</v>
      </c>
      <c r="O64" t="s">
        <v>43</v>
      </c>
    </row>
    <row r="65" spans="1:15" x14ac:dyDescent="0.25">
      <c r="A65" t="s">
        <v>127</v>
      </c>
      <c r="B65" s="5">
        <v>45716</v>
      </c>
      <c r="C65" t="s">
        <v>51</v>
      </c>
      <c r="D65" t="s">
        <v>17</v>
      </c>
      <c r="E65" t="s">
        <v>46</v>
      </c>
      <c r="F65" t="s">
        <v>19</v>
      </c>
      <c r="G65" t="s">
        <v>77</v>
      </c>
      <c r="H65" t="s">
        <v>53</v>
      </c>
      <c r="I65">
        <v>1</v>
      </c>
      <c r="J65" s="6">
        <v>19656</v>
      </c>
      <c r="K65" s="3">
        <v>0.1</v>
      </c>
      <c r="L65" s="6">
        <v>17690.400000000001</v>
      </c>
      <c r="M65" s="6">
        <v>14417.81</v>
      </c>
      <c r="N65" s="6">
        <v>3272.59</v>
      </c>
      <c r="O65" t="s">
        <v>43</v>
      </c>
    </row>
    <row r="66" spans="1:15" x14ac:dyDescent="0.25">
      <c r="A66" t="s">
        <v>128</v>
      </c>
      <c r="B66" s="5">
        <v>45716</v>
      </c>
      <c r="C66" t="s">
        <v>91</v>
      </c>
      <c r="D66" t="s">
        <v>17</v>
      </c>
      <c r="E66" t="s">
        <v>25</v>
      </c>
      <c r="F66" t="s">
        <v>19</v>
      </c>
      <c r="G66" t="s">
        <v>77</v>
      </c>
      <c r="H66" t="s">
        <v>53</v>
      </c>
      <c r="I66">
        <v>1</v>
      </c>
      <c r="J66" s="6">
        <v>18718</v>
      </c>
      <c r="K66" s="3">
        <v>0.1</v>
      </c>
      <c r="L66" s="6">
        <v>16846.2</v>
      </c>
      <c r="M66" s="6">
        <v>13307.87</v>
      </c>
      <c r="N66" s="6">
        <v>3538.33</v>
      </c>
      <c r="O66" t="s">
        <v>22</v>
      </c>
    </row>
    <row r="67" spans="1:15" x14ac:dyDescent="0.25">
      <c r="A67" t="s">
        <v>129</v>
      </c>
      <c r="B67" s="5">
        <v>45717</v>
      </c>
      <c r="C67" t="s">
        <v>51</v>
      </c>
      <c r="D67" t="s">
        <v>30</v>
      </c>
      <c r="E67" t="s">
        <v>46</v>
      </c>
      <c r="F67" t="s">
        <v>26</v>
      </c>
      <c r="G67" t="s">
        <v>64</v>
      </c>
      <c r="H67" t="s">
        <v>53</v>
      </c>
      <c r="I67">
        <v>2</v>
      </c>
      <c r="J67" s="6">
        <v>29733</v>
      </c>
      <c r="K67" s="3">
        <v>0.15</v>
      </c>
      <c r="L67" s="6">
        <v>50546.1</v>
      </c>
      <c r="M67" s="6">
        <v>31992.39</v>
      </c>
      <c r="N67" s="6">
        <v>18553.71</v>
      </c>
      <c r="O67" t="s">
        <v>74</v>
      </c>
    </row>
    <row r="68" spans="1:15" x14ac:dyDescent="0.25">
      <c r="A68" t="s">
        <v>130</v>
      </c>
      <c r="B68" s="5">
        <v>45717</v>
      </c>
      <c r="C68" t="s">
        <v>38</v>
      </c>
      <c r="D68" t="s">
        <v>30</v>
      </c>
      <c r="E68" t="s">
        <v>57</v>
      </c>
      <c r="F68" t="s">
        <v>32</v>
      </c>
      <c r="G68" t="s">
        <v>82</v>
      </c>
      <c r="H68" t="s">
        <v>21</v>
      </c>
      <c r="I68">
        <v>3</v>
      </c>
      <c r="J68" s="6">
        <v>1237</v>
      </c>
      <c r="K68" s="3">
        <v>0.1</v>
      </c>
      <c r="L68" s="6">
        <v>3339.9</v>
      </c>
      <c r="M68" s="6">
        <v>2010.09</v>
      </c>
      <c r="N68" s="6">
        <v>1329.81</v>
      </c>
      <c r="O68" t="s">
        <v>74</v>
      </c>
    </row>
    <row r="69" spans="1:15" x14ac:dyDescent="0.25">
      <c r="A69" t="s">
        <v>131</v>
      </c>
      <c r="B69" s="5">
        <v>45718</v>
      </c>
      <c r="C69" t="s">
        <v>35</v>
      </c>
      <c r="D69" t="s">
        <v>30</v>
      </c>
      <c r="E69" t="s">
        <v>46</v>
      </c>
      <c r="F69" t="s">
        <v>32</v>
      </c>
      <c r="G69" t="s">
        <v>62</v>
      </c>
      <c r="H69" t="s">
        <v>21</v>
      </c>
      <c r="I69">
        <v>2</v>
      </c>
      <c r="J69" s="6">
        <v>3553</v>
      </c>
      <c r="K69" s="3">
        <v>0.1</v>
      </c>
      <c r="L69" s="6">
        <v>6395.4</v>
      </c>
      <c r="M69" s="6">
        <v>4004.26</v>
      </c>
      <c r="N69" s="6">
        <v>2391.14</v>
      </c>
      <c r="O69" t="s">
        <v>74</v>
      </c>
    </row>
    <row r="70" spans="1:15" x14ac:dyDescent="0.25">
      <c r="A70" t="s">
        <v>132</v>
      </c>
      <c r="B70" s="5">
        <v>45719</v>
      </c>
      <c r="C70" t="s">
        <v>88</v>
      </c>
      <c r="D70" t="s">
        <v>48</v>
      </c>
      <c r="E70" t="s">
        <v>46</v>
      </c>
      <c r="F70" t="s">
        <v>32</v>
      </c>
      <c r="G70" t="s">
        <v>62</v>
      </c>
      <c r="H70" t="s">
        <v>21</v>
      </c>
      <c r="I70">
        <v>6</v>
      </c>
      <c r="J70" s="6">
        <v>3703</v>
      </c>
      <c r="K70" s="3">
        <v>0.1</v>
      </c>
      <c r="L70" s="6">
        <v>19996.2</v>
      </c>
      <c r="M70" s="6">
        <v>14993.44</v>
      </c>
      <c r="N70" s="6">
        <v>5002.76</v>
      </c>
      <c r="O70" t="s">
        <v>22</v>
      </c>
    </row>
    <row r="71" spans="1:15" x14ac:dyDescent="0.25">
      <c r="A71" t="s">
        <v>133</v>
      </c>
      <c r="B71" s="5">
        <v>45719</v>
      </c>
      <c r="C71" t="s">
        <v>24</v>
      </c>
      <c r="D71" t="s">
        <v>39</v>
      </c>
      <c r="E71" t="s">
        <v>25</v>
      </c>
      <c r="F71" t="s">
        <v>32</v>
      </c>
      <c r="G71" t="s">
        <v>52</v>
      </c>
      <c r="H71" t="s">
        <v>53</v>
      </c>
      <c r="I71">
        <v>8</v>
      </c>
      <c r="J71" s="6">
        <v>58950</v>
      </c>
      <c r="K71" s="3">
        <v>0.1</v>
      </c>
      <c r="L71" s="6">
        <v>424440</v>
      </c>
      <c r="M71" s="6">
        <v>347614.77</v>
      </c>
      <c r="N71" s="6">
        <v>76825.23</v>
      </c>
      <c r="O71" t="s">
        <v>22</v>
      </c>
    </row>
    <row r="72" spans="1:15" x14ac:dyDescent="0.25">
      <c r="A72" t="s">
        <v>134</v>
      </c>
      <c r="B72" s="5">
        <v>45722</v>
      </c>
      <c r="C72" t="s">
        <v>16</v>
      </c>
      <c r="D72" t="s">
        <v>30</v>
      </c>
      <c r="E72" t="s">
        <v>49</v>
      </c>
      <c r="F72" t="s">
        <v>26</v>
      </c>
      <c r="G72" t="s">
        <v>77</v>
      </c>
      <c r="H72" t="s">
        <v>53</v>
      </c>
      <c r="I72">
        <v>8</v>
      </c>
      <c r="J72" s="6">
        <v>19747</v>
      </c>
      <c r="K72" s="3">
        <v>0.05</v>
      </c>
      <c r="L72" s="6">
        <v>150077.20000000001</v>
      </c>
      <c r="M72" s="6">
        <v>114795.13</v>
      </c>
      <c r="N72" s="6">
        <v>35282.07</v>
      </c>
      <c r="O72" t="s">
        <v>74</v>
      </c>
    </row>
    <row r="73" spans="1:15" x14ac:dyDescent="0.25">
      <c r="A73" t="s">
        <v>135</v>
      </c>
      <c r="B73" s="5">
        <v>45724</v>
      </c>
      <c r="C73" t="s">
        <v>51</v>
      </c>
      <c r="D73" t="s">
        <v>17</v>
      </c>
      <c r="E73" t="s">
        <v>40</v>
      </c>
      <c r="F73" t="s">
        <v>19</v>
      </c>
      <c r="G73" t="s">
        <v>107</v>
      </c>
      <c r="H73" t="s">
        <v>108</v>
      </c>
      <c r="I73">
        <v>4</v>
      </c>
      <c r="J73" s="6">
        <v>14473</v>
      </c>
      <c r="K73" s="3">
        <v>0.05</v>
      </c>
      <c r="L73" s="6">
        <v>54997.4</v>
      </c>
      <c r="M73" s="6">
        <v>41098.85</v>
      </c>
      <c r="N73" s="6">
        <v>13898.55</v>
      </c>
      <c r="O73" t="s">
        <v>74</v>
      </c>
    </row>
    <row r="74" spans="1:15" x14ac:dyDescent="0.25">
      <c r="A74" t="s">
        <v>136</v>
      </c>
      <c r="B74" s="5">
        <v>45727</v>
      </c>
      <c r="C74" t="s">
        <v>29</v>
      </c>
      <c r="D74" t="s">
        <v>48</v>
      </c>
      <c r="E74" t="s">
        <v>25</v>
      </c>
      <c r="F74" t="s">
        <v>19</v>
      </c>
      <c r="G74" t="s">
        <v>52</v>
      </c>
      <c r="H74" t="s">
        <v>53</v>
      </c>
      <c r="I74">
        <v>3</v>
      </c>
      <c r="J74" s="6">
        <v>64514</v>
      </c>
      <c r="K74" s="3">
        <v>0.2</v>
      </c>
      <c r="L74" s="6">
        <v>154833.60000000001</v>
      </c>
      <c r="M74" s="6">
        <v>109366.66</v>
      </c>
      <c r="N74" s="6">
        <v>45466.94</v>
      </c>
      <c r="O74" t="s">
        <v>43</v>
      </c>
    </row>
    <row r="75" spans="1:15" x14ac:dyDescent="0.25">
      <c r="A75" t="s">
        <v>137</v>
      </c>
      <c r="B75" s="5">
        <v>45727</v>
      </c>
      <c r="C75" t="s">
        <v>69</v>
      </c>
      <c r="D75" t="s">
        <v>17</v>
      </c>
      <c r="E75" t="s">
        <v>49</v>
      </c>
      <c r="F75" t="s">
        <v>32</v>
      </c>
      <c r="G75" t="s">
        <v>86</v>
      </c>
      <c r="H75" t="s">
        <v>42</v>
      </c>
      <c r="I75">
        <v>7</v>
      </c>
      <c r="J75" s="6">
        <v>10966</v>
      </c>
      <c r="K75" s="3">
        <v>0.1</v>
      </c>
      <c r="L75" s="6">
        <v>69085.8</v>
      </c>
      <c r="M75" s="6">
        <v>42479.11</v>
      </c>
      <c r="N75" s="6">
        <v>26606.69</v>
      </c>
      <c r="O75" t="s">
        <v>27</v>
      </c>
    </row>
    <row r="76" spans="1:15" x14ac:dyDescent="0.25">
      <c r="A76" t="s">
        <v>138</v>
      </c>
      <c r="B76" s="5">
        <v>45727</v>
      </c>
      <c r="C76" t="s">
        <v>38</v>
      </c>
      <c r="D76" t="s">
        <v>30</v>
      </c>
      <c r="E76" t="s">
        <v>57</v>
      </c>
      <c r="F76" t="s">
        <v>32</v>
      </c>
      <c r="G76" t="s">
        <v>86</v>
      </c>
      <c r="H76" t="s">
        <v>42</v>
      </c>
      <c r="I76">
        <v>8</v>
      </c>
      <c r="J76" s="6">
        <v>12327</v>
      </c>
      <c r="K76" s="3">
        <v>0.1</v>
      </c>
      <c r="L76" s="6">
        <v>88754.4</v>
      </c>
      <c r="M76" s="6">
        <v>61193.34</v>
      </c>
      <c r="N76" s="6">
        <v>27561.06</v>
      </c>
      <c r="O76" t="s">
        <v>43</v>
      </c>
    </row>
    <row r="77" spans="1:15" x14ac:dyDescent="0.25">
      <c r="A77" t="s">
        <v>139</v>
      </c>
      <c r="B77" s="5">
        <v>45730</v>
      </c>
      <c r="C77" t="s">
        <v>96</v>
      </c>
      <c r="D77" t="s">
        <v>17</v>
      </c>
      <c r="E77" t="s">
        <v>31</v>
      </c>
      <c r="F77" t="s">
        <v>26</v>
      </c>
      <c r="G77" t="s">
        <v>107</v>
      </c>
      <c r="H77" t="s">
        <v>108</v>
      </c>
      <c r="I77">
        <v>6</v>
      </c>
      <c r="J77" s="6">
        <v>15495</v>
      </c>
      <c r="K77" s="3">
        <v>0</v>
      </c>
      <c r="L77" s="6">
        <v>92970</v>
      </c>
      <c r="M77" s="6">
        <v>58213.39</v>
      </c>
      <c r="N77" s="6">
        <v>34756.61</v>
      </c>
      <c r="O77" t="s">
        <v>22</v>
      </c>
    </row>
    <row r="78" spans="1:15" x14ac:dyDescent="0.25">
      <c r="A78" t="s">
        <v>140</v>
      </c>
      <c r="B78" s="5">
        <v>45730</v>
      </c>
      <c r="C78" t="s">
        <v>69</v>
      </c>
      <c r="D78" t="s">
        <v>48</v>
      </c>
      <c r="E78" t="s">
        <v>40</v>
      </c>
      <c r="F78" t="s">
        <v>26</v>
      </c>
      <c r="G78" t="s">
        <v>33</v>
      </c>
      <c r="H78" t="s">
        <v>21</v>
      </c>
      <c r="I78">
        <v>4</v>
      </c>
      <c r="J78" s="6">
        <v>4728</v>
      </c>
      <c r="K78" s="3">
        <v>0.1</v>
      </c>
      <c r="L78" s="6">
        <v>17020.8</v>
      </c>
      <c r="M78" s="6">
        <v>13598.92</v>
      </c>
      <c r="N78" s="6">
        <v>3421.88</v>
      </c>
      <c r="O78" t="s">
        <v>74</v>
      </c>
    </row>
    <row r="79" spans="1:15" x14ac:dyDescent="0.25">
      <c r="A79" t="s">
        <v>141</v>
      </c>
      <c r="B79" s="5">
        <v>45731</v>
      </c>
      <c r="C79" t="s">
        <v>69</v>
      </c>
      <c r="D79" t="s">
        <v>17</v>
      </c>
      <c r="E79" t="s">
        <v>40</v>
      </c>
      <c r="F79" t="s">
        <v>19</v>
      </c>
      <c r="G79" t="s">
        <v>82</v>
      </c>
      <c r="H79" t="s">
        <v>21</v>
      </c>
      <c r="I79">
        <v>5</v>
      </c>
      <c r="J79" s="6">
        <v>1170</v>
      </c>
      <c r="K79" s="3">
        <v>0.1</v>
      </c>
      <c r="L79" s="6">
        <v>5265</v>
      </c>
      <c r="M79" s="6">
        <v>4091.15</v>
      </c>
      <c r="N79" s="6">
        <v>1173.8499999999999</v>
      </c>
      <c r="O79" t="s">
        <v>58</v>
      </c>
    </row>
    <row r="80" spans="1:15" x14ac:dyDescent="0.25">
      <c r="A80" t="s">
        <v>142</v>
      </c>
      <c r="B80" s="5">
        <v>45732</v>
      </c>
      <c r="C80" t="s">
        <v>16</v>
      </c>
      <c r="D80" t="s">
        <v>30</v>
      </c>
      <c r="E80" t="s">
        <v>40</v>
      </c>
      <c r="F80" t="s">
        <v>19</v>
      </c>
      <c r="G80" t="s">
        <v>62</v>
      </c>
      <c r="H80" t="s">
        <v>21</v>
      </c>
      <c r="I80">
        <v>4</v>
      </c>
      <c r="J80" s="6">
        <v>3500</v>
      </c>
      <c r="K80" s="3">
        <v>0.1</v>
      </c>
      <c r="L80" s="6">
        <v>12600</v>
      </c>
      <c r="M80" s="6">
        <v>9492.4599999999991</v>
      </c>
      <c r="N80" s="6">
        <v>3107.54</v>
      </c>
      <c r="O80" t="s">
        <v>58</v>
      </c>
    </row>
    <row r="81" spans="1:15" x14ac:dyDescent="0.25">
      <c r="A81" t="s">
        <v>143</v>
      </c>
      <c r="B81" s="5">
        <v>45732</v>
      </c>
      <c r="C81" t="s">
        <v>38</v>
      </c>
      <c r="D81" t="s">
        <v>48</v>
      </c>
      <c r="E81" t="s">
        <v>36</v>
      </c>
      <c r="F81" t="s">
        <v>26</v>
      </c>
      <c r="G81" t="s">
        <v>107</v>
      </c>
      <c r="H81" t="s">
        <v>108</v>
      </c>
      <c r="I81">
        <v>2</v>
      </c>
      <c r="J81" s="6">
        <v>14897</v>
      </c>
      <c r="K81" s="3">
        <v>0.1</v>
      </c>
      <c r="L81" s="6">
        <v>26814.6</v>
      </c>
      <c r="M81" s="6">
        <v>21506.92</v>
      </c>
      <c r="N81" s="6">
        <v>5307.68</v>
      </c>
      <c r="O81" t="s">
        <v>58</v>
      </c>
    </row>
    <row r="82" spans="1:15" x14ac:dyDescent="0.25">
      <c r="A82" t="s">
        <v>144</v>
      </c>
      <c r="B82" s="5">
        <v>45733</v>
      </c>
      <c r="C82" t="s">
        <v>67</v>
      </c>
      <c r="D82" t="s">
        <v>48</v>
      </c>
      <c r="E82" t="s">
        <v>31</v>
      </c>
      <c r="F82" t="s">
        <v>32</v>
      </c>
      <c r="G82" t="s">
        <v>86</v>
      </c>
      <c r="H82" t="s">
        <v>42</v>
      </c>
      <c r="I82">
        <v>7</v>
      </c>
      <c r="J82" s="6">
        <v>13096</v>
      </c>
      <c r="K82" s="3">
        <v>0.1</v>
      </c>
      <c r="L82" s="6">
        <v>82504.800000000003</v>
      </c>
      <c r="M82" s="6">
        <v>58261.14</v>
      </c>
      <c r="N82" s="6">
        <v>24243.66</v>
      </c>
      <c r="O82" t="s">
        <v>22</v>
      </c>
    </row>
    <row r="83" spans="1:15" x14ac:dyDescent="0.25">
      <c r="A83" t="s">
        <v>145</v>
      </c>
      <c r="B83" s="5">
        <v>45733</v>
      </c>
      <c r="C83" t="s">
        <v>69</v>
      </c>
      <c r="D83" t="s">
        <v>48</v>
      </c>
      <c r="E83" t="s">
        <v>36</v>
      </c>
      <c r="F83" t="s">
        <v>19</v>
      </c>
      <c r="G83" t="s">
        <v>33</v>
      </c>
      <c r="H83" t="s">
        <v>21</v>
      </c>
      <c r="I83">
        <v>8</v>
      </c>
      <c r="J83" s="6">
        <v>4690</v>
      </c>
      <c r="K83" s="3">
        <v>0.15</v>
      </c>
      <c r="L83" s="6">
        <v>31892</v>
      </c>
      <c r="M83" s="6">
        <v>19841.3</v>
      </c>
      <c r="N83" s="6">
        <v>12050.7</v>
      </c>
      <c r="O83" t="s">
        <v>74</v>
      </c>
    </row>
    <row r="84" spans="1:15" x14ac:dyDescent="0.25">
      <c r="A84" t="s">
        <v>146</v>
      </c>
      <c r="B84" s="5">
        <v>45733</v>
      </c>
      <c r="C84" t="s">
        <v>60</v>
      </c>
      <c r="D84" t="s">
        <v>39</v>
      </c>
      <c r="E84" t="s">
        <v>31</v>
      </c>
      <c r="F84" t="s">
        <v>32</v>
      </c>
      <c r="G84" t="s">
        <v>41</v>
      </c>
      <c r="H84" t="s">
        <v>42</v>
      </c>
      <c r="I84">
        <v>1</v>
      </c>
      <c r="J84" s="6">
        <v>9860</v>
      </c>
      <c r="K84" s="3">
        <v>0.1</v>
      </c>
      <c r="L84" s="6">
        <v>8874</v>
      </c>
      <c r="M84" s="6">
        <v>5745.46</v>
      </c>
      <c r="N84" s="6">
        <v>3128.54</v>
      </c>
      <c r="O84" t="s">
        <v>74</v>
      </c>
    </row>
    <row r="85" spans="1:15" x14ac:dyDescent="0.25">
      <c r="A85" t="s">
        <v>147</v>
      </c>
      <c r="B85" s="5">
        <v>45734</v>
      </c>
      <c r="C85" t="s">
        <v>29</v>
      </c>
      <c r="D85" t="s">
        <v>48</v>
      </c>
      <c r="E85" t="s">
        <v>57</v>
      </c>
      <c r="F85" t="s">
        <v>19</v>
      </c>
      <c r="G85" t="s">
        <v>86</v>
      </c>
      <c r="H85" t="s">
        <v>42</v>
      </c>
      <c r="I85">
        <v>3</v>
      </c>
      <c r="J85" s="6">
        <v>12908</v>
      </c>
      <c r="K85" s="3">
        <v>0.05</v>
      </c>
      <c r="L85" s="6">
        <v>36787.800000000003</v>
      </c>
      <c r="M85" s="6">
        <v>24719.46</v>
      </c>
      <c r="N85" s="6">
        <v>12068.34</v>
      </c>
      <c r="O85" t="s">
        <v>27</v>
      </c>
    </row>
    <row r="86" spans="1:15" x14ac:dyDescent="0.25">
      <c r="A86" t="s">
        <v>148</v>
      </c>
      <c r="B86" s="5">
        <v>45734</v>
      </c>
      <c r="C86" t="s">
        <v>60</v>
      </c>
      <c r="D86" t="s">
        <v>30</v>
      </c>
      <c r="E86" t="s">
        <v>40</v>
      </c>
      <c r="F86" t="s">
        <v>26</v>
      </c>
      <c r="G86" t="s">
        <v>82</v>
      </c>
      <c r="H86" t="s">
        <v>21</v>
      </c>
      <c r="I86">
        <v>2</v>
      </c>
      <c r="J86" s="6">
        <v>1175</v>
      </c>
      <c r="K86" s="3">
        <v>0</v>
      </c>
      <c r="L86" s="6">
        <v>2350</v>
      </c>
      <c r="M86" s="6">
        <v>1703.42</v>
      </c>
      <c r="N86" s="6">
        <v>646.58000000000004</v>
      </c>
      <c r="O86" t="s">
        <v>27</v>
      </c>
    </row>
    <row r="87" spans="1:15" x14ac:dyDescent="0.25">
      <c r="A87" t="s">
        <v>149</v>
      </c>
      <c r="B87" s="5">
        <v>45735</v>
      </c>
      <c r="C87" t="s">
        <v>38</v>
      </c>
      <c r="D87" t="s">
        <v>39</v>
      </c>
      <c r="E87" t="s">
        <v>49</v>
      </c>
      <c r="F87" t="s">
        <v>19</v>
      </c>
      <c r="G87" t="s">
        <v>33</v>
      </c>
      <c r="H87" t="s">
        <v>21</v>
      </c>
      <c r="I87">
        <v>1</v>
      </c>
      <c r="J87" s="6">
        <v>4923</v>
      </c>
      <c r="K87" s="3">
        <v>0.05</v>
      </c>
      <c r="L87" s="6">
        <v>4676.8500000000004</v>
      </c>
      <c r="M87" s="6">
        <v>3047.88</v>
      </c>
      <c r="N87" s="6">
        <v>1628.97</v>
      </c>
      <c r="O87" t="s">
        <v>74</v>
      </c>
    </row>
    <row r="88" spans="1:15" x14ac:dyDescent="0.25">
      <c r="A88" t="s">
        <v>150</v>
      </c>
      <c r="B88" s="5">
        <v>45738</v>
      </c>
      <c r="C88" t="s">
        <v>51</v>
      </c>
      <c r="D88" t="s">
        <v>30</v>
      </c>
      <c r="E88" t="s">
        <v>18</v>
      </c>
      <c r="F88" t="s">
        <v>32</v>
      </c>
      <c r="G88" t="s">
        <v>41</v>
      </c>
      <c r="H88" t="s">
        <v>42</v>
      </c>
      <c r="I88">
        <v>5</v>
      </c>
      <c r="J88" s="6">
        <v>8982</v>
      </c>
      <c r="K88" s="3">
        <v>0.05</v>
      </c>
      <c r="L88" s="6">
        <v>42664.5</v>
      </c>
      <c r="M88" s="6">
        <v>30691.14</v>
      </c>
      <c r="N88" s="6">
        <v>11973.36</v>
      </c>
      <c r="O88" t="s">
        <v>27</v>
      </c>
    </row>
    <row r="89" spans="1:15" x14ac:dyDescent="0.25">
      <c r="A89" t="s">
        <v>151</v>
      </c>
      <c r="B89" s="5">
        <v>45739</v>
      </c>
      <c r="C89" t="s">
        <v>60</v>
      </c>
      <c r="D89" t="s">
        <v>48</v>
      </c>
      <c r="E89" t="s">
        <v>31</v>
      </c>
      <c r="F89" t="s">
        <v>26</v>
      </c>
      <c r="G89" t="s">
        <v>82</v>
      </c>
      <c r="H89" t="s">
        <v>21</v>
      </c>
      <c r="I89">
        <v>7</v>
      </c>
      <c r="J89" s="6">
        <v>1189</v>
      </c>
      <c r="K89" s="3">
        <v>0.1</v>
      </c>
      <c r="L89" s="6">
        <v>7490.7</v>
      </c>
      <c r="M89" s="6">
        <v>5556.6</v>
      </c>
      <c r="N89" s="6">
        <v>1934.1</v>
      </c>
      <c r="O89" t="s">
        <v>43</v>
      </c>
    </row>
    <row r="90" spans="1:15" x14ac:dyDescent="0.25">
      <c r="A90" t="s">
        <v>152</v>
      </c>
      <c r="B90" s="5">
        <v>45739</v>
      </c>
      <c r="C90" t="s">
        <v>72</v>
      </c>
      <c r="D90" t="s">
        <v>48</v>
      </c>
      <c r="E90" t="s">
        <v>40</v>
      </c>
      <c r="F90" t="s">
        <v>26</v>
      </c>
      <c r="G90" t="s">
        <v>82</v>
      </c>
      <c r="H90" t="s">
        <v>21</v>
      </c>
      <c r="I90">
        <v>1</v>
      </c>
      <c r="J90" s="6">
        <v>1137</v>
      </c>
      <c r="K90" s="3">
        <v>0</v>
      </c>
      <c r="L90" s="6">
        <v>1137</v>
      </c>
      <c r="M90" s="6">
        <v>911.89</v>
      </c>
      <c r="N90" s="6">
        <v>225.11</v>
      </c>
      <c r="O90" t="s">
        <v>58</v>
      </c>
    </row>
    <row r="91" spans="1:15" x14ac:dyDescent="0.25">
      <c r="A91" t="s">
        <v>153</v>
      </c>
      <c r="B91" s="5">
        <v>45741</v>
      </c>
      <c r="C91" t="s">
        <v>38</v>
      </c>
      <c r="D91" t="s">
        <v>30</v>
      </c>
      <c r="E91" t="s">
        <v>25</v>
      </c>
      <c r="F91" t="s">
        <v>32</v>
      </c>
      <c r="G91" t="s">
        <v>82</v>
      </c>
      <c r="H91" t="s">
        <v>21</v>
      </c>
      <c r="I91">
        <v>1</v>
      </c>
      <c r="J91" s="6">
        <v>1187</v>
      </c>
      <c r="K91" s="3">
        <v>0</v>
      </c>
      <c r="L91" s="6">
        <v>1187</v>
      </c>
      <c r="M91" s="6">
        <v>962.35</v>
      </c>
      <c r="N91" s="6">
        <v>224.65</v>
      </c>
      <c r="O91" t="s">
        <v>27</v>
      </c>
    </row>
    <row r="92" spans="1:15" x14ac:dyDescent="0.25">
      <c r="A92" t="s">
        <v>154</v>
      </c>
      <c r="B92" s="5">
        <v>45743</v>
      </c>
      <c r="C92" t="s">
        <v>60</v>
      </c>
      <c r="D92" t="s">
        <v>30</v>
      </c>
      <c r="E92" t="s">
        <v>36</v>
      </c>
      <c r="F92" t="s">
        <v>32</v>
      </c>
      <c r="G92" t="s">
        <v>86</v>
      </c>
      <c r="H92" t="s">
        <v>42</v>
      </c>
      <c r="I92">
        <v>5</v>
      </c>
      <c r="J92" s="6">
        <v>11078</v>
      </c>
      <c r="K92" s="3">
        <v>0</v>
      </c>
      <c r="L92" s="6">
        <v>55390</v>
      </c>
      <c r="M92" s="6">
        <v>33730.31</v>
      </c>
      <c r="N92" s="6">
        <v>21659.69</v>
      </c>
      <c r="O92" t="s">
        <v>43</v>
      </c>
    </row>
    <row r="93" spans="1:15" x14ac:dyDescent="0.25">
      <c r="A93" t="s">
        <v>155</v>
      </c>
      <c r="B93" s="5">
        <v>45743</v>
      </c>
      <c r="C93" t="s">
        <v>88</v>
      </c>
      <c r="D93" t="s">
        <v>30</v>
      </c>
      <c r="E93" t="s">
        <v>49</v>
      </c>
      <c r="F93" t="s">
        <v>26</v>
      </c>
      <c r="G93" t="s">
        <v>33</v>
      </c>
      <c r="H93" t="s">
        <v>21</v>
      </c>
      <c r="I93">
        <v>7</v>
      </c>
      <c r="J93" s="6">
        <v>4080</v>
      </c>
      <c r="K93" s="3">
        <v>0.1</v>
      </c>
      <c r="L93" s="6">
        <v>25704</v>
      </c>
      <c r="M93" s="6">
        <v>17103.87</v>
      </c>
      <c r="N93" s="6">
        <v>8600.1299999999992</v>
      </c>
      <c r="O93" t="s">
        <v>22</v>
      </c>
    </row>
    <row r="94" spans="1:15" x14ac:dyDescent="0.25">
      <c r="A94" t="s">
        <v>156</v>
      </c>
      <c r="B94" s="5">
        <v>45743</v>
      </c>
      <c r="C94" t="s">
        <v>24</v>
      </c>
      <c r="D94" t="s">
        <v>30</v>
      </c>
      <c r="E94" t="s">
        <v>18</v>
      </c>
      <c r="F94" t="s">
        <v>19</v>
      </c>
      <c r="G94" t="s">
        <v>77</v>
      </c>
      <c r="H94" t="s">
        <v>53</v>
      </c>
      <c r="I94">
        <v>1</v>
      </c>
      <c r="J94" s="6">
        <v>19217</v>
      </c>
      <c r="K94" s="3">
        <v>0.15</v>
      </c>
      <c r="L94" s="6">
        <v>16334.45</v>
      </c>
      <c r="M94" s="6">
        <v>12255.98</v>
      </c>
      <c r="N94" s="6">
        <v>4078.47</v>
      </c>
      <c r="O94" t="s">
        <v>74</v>
      </c>
    </row>
    <row r="95" spans="1:15" x14ac:dyDescent="0.25">
      <c r="A95" t="s">
        <v>157</v>
      </c>
      <c r="B95" s="5">
        <v>45744</v>
      </c>
      <c r="C95" t="s">
        <v>67</v>
      </c>
      <c r="D95" t="s">
        <v>39</v>
      </c>
      <c r="E95" t="s">
        <v>18</v>
      </c>
      <c r="F95" t="s">
        <v>32</v>
      </c>
      <c r="G95" t="s">
        <v>64</v>
      </c>
      <c r="H95" t="s">
        <v>53</v>
      </c>
      <c r="I95">
        <v>8</v>
      </c>
      <c r="J95" s="6">
        <v>26721</v>
      </c>
      <c r="K95" s="3">
        <v>0</v>
      </c>
      <c r="L95" s="6">
        <v>213768</v>
      </c>
      <c r="M95" s="6">
        <v>136943.87</v>
      </c>
      <c r="N95" s="6">
        <v>76824.13</v>
      </c>
      <c r="O95" t="s">
        <v>43</v>
      </c>
    </row>
    <row r="96" spans="1:15" x14ac:dyDescent="0.25">
      <c r="A96" t="s">
        <v>158</v>
      </c>
      <c r="B96" s="5">
        <v>45745</v>
      </c>
      <c r="C96" t="s">
        <v>88</v>
      </c>
      <c r="D96" t="s">
        <v>17</v>
      </c>
      <c r="E96" t="s">
        <v>57</v>
      </c>
      <c r="F96" t="s">
        <v>19</v>
      </c>
      <c r="G96" t="s">
        <v>62</v>
      </c>
      <c r="H96" t="s">
        <v>21</v>
      </c>
      <c r="I96">
        <v>4</v>
      </c>
      <c r="J96" s="6">
        <v>3250</v>
      </c>
      <c r="K96" s="3">
        <v>0.1</v>
      </c>
      <c r="L96" s="6">
        <v>11700</v>
      </c>
      <c r="M96" s="6">
        <v>7165.2</v>
      </c>
      <c r="N96" s="6">
        <v>4534.8</v>
      </c>
      <c r="O96" t="s">
        <v>27</v>
      </c>
    </row>
    <row r="97" spans="1:15" x14ac:dyDescent="0.25">
      <c r="A97" t="s">
        <v>159</v>
      </c>
      <c r="B97" s="5">
        <v>45746</v>
      </c>
      <c r="C97" t="s">
        <v>51</v>
      </c>
      <c r="D97" t="s">
        <v>39</v>
      </c>
      <c r="E97" t="s">
        <v>25</v>
      </c>
      <c r="F97" t="s">
        <v>19</v>
      </c>
      <c r="G97" t="s">
        <v>33</v>
      </c>
      <c r="H97" t="s">
        <v>21</v>
      </c>
      <c r="I97">
        <v>1</v>
      </c>
      <c r="J97" s="6">
        <v>4899</v>
      </c>
      <c r="K97" s="3">
        <v>0</v>
      </c>
      <c r="L97" s="6">
        <v>4899</v>
      </c>
      <c r="M97" s="6">
        <v>3699.85</v>
      </c>
      <c r="N97" s="6">
        <v>1199.1500000000001</v>
      </c>
      <c r="O97" t="s">
        <v>22</v>
      </c>
    </row>
    <row r="98" spans="1:15" x14ac:dyDescent="0.25">
      <c r="A98" t="s">
        <v>160</v>
      </c>
      <c r="B98" s="5">
        <v>45746</v>
      </c>
      <c r="C98" t="s">
        <v>35</v>
      </c>
      <c r="D98" t="s">
        <v>30</v>
      </c>
      <c r="E98" t="s">
        <v>18</v>
      </c>
      <c r="F98" t="s">
        <v>26</v>
      </c>
      <c r="G98" t="s">
        <v>77</v>
      </c>
      <c r="H98" t="s">
        <v>53</v>
      </c>
      <c r="I98">
        <v>8</v>
      </c>
      <c r="J98" s="6">
        <v>17827</v>
      </c>
      <c r="K98" s="3">
        <v>0.1</v>
      </c>
      <c r="L98" s="6">
        <v>128354.4</v>
      </c>
      <c r="M98" s="6">
        <v>102417.42</v>
      </c>
      <c r="N98" s="6">
        <v>25936.98</v>
      </c>
      <c r="O98" t="s">
        <v>74</v>
      </c>
    </row>
    <row r="99" spans="1:15" x14ac:dyDescent="0.25">
      <c r="A99" t="s">
        <v>161</v>
      </c>
      <c r="B99" s="5">
        <v>45746</v>
      </c>
      <c r="C99" t="s">
        <v>79</v>
      </c>
      <c r="D99" t="s">
        <v>17</v>
      </c>
      <c r="E99" t="s">
        <v>25</v>
      </c>
      <c r="F99" t="s">
        <v>32</v>
      </c>
      <c r="G99" t="s">
        <v>77</v>
      </c>
      <c r="H99" t="s">
        <v>53</v>
      </c>
      <c r="I99">
        <v>2</v>
      </c>
      <c r="J99" s="6">
        <v>17296</v>
      </c>
      <c r="K99" s="3">
        <v>0</v>
      </c>
      <c r="L99" s="6">
        <v>34592</v>
      </c>
      <c r="M99" s="6">
        <v>25962.38</v>
      </c>
      <c r="N99" s="6">
        <v>8629.6200000000008</v>
      </c>
      <c r="O99" t="s">
        <v>58</v>
      </c>
    </row>
    <row r="100" spans="1:15" x14ac:dyDescent="0.25">
      <c r="A100" t="s">
        <v>162</v>
      </c>
      <c r="B100" s="5">
        <v>45747</v>
      </c>
      <c r="C100" t="s">
        <v>45</v>
      </c>
      <c r="D100" t="s">
        <v>39</v>
      </c>
      <c r="E100" t="s">
        <v>57</v>
      </c>
      <c r="F100" t="s">
        <v>19</v>
      </c>
      <c r="G100" t="s">
        <v>107</v>
      </c>
      <c r="H100" t="s">
        <v>108</v>
      </c>
      <c r="I100">
        <v>5</v>
      </c>
      <c r="J100" s="6">
        <v>15018</v>
      </c>
      <c r="K100" s="3">
        <v>0.15</v>
      </c>
      <c r="L100" s="6">
        <v>63826.5</v>
      </c>
      <c r="M100" s="6">
        <v>42798.3</v>
      </c>
      <c r="N100" s="6">
        <v>21028.2</v>
      </c>
      <c r="O100" t="s">
        <v>27</v>
      </c>
    </row>
    <row r="101" spans="1:15" x14ac:dyDescent="0.25">
      <c r="A101" t="s">
        <v>163</v>
      </c>
      <c r="B101" s="5">
        <v>45747</v>
      </c>
      <c r="C101" t="s">
        <v>69</v>
      </c>
      <c r="D101" t="s">
        <v>39</v>
      </c>
      <c r="E101" t="s">
        <v>36</v>
      </c>
      <c r="F101" t="s">
        <v>26</v>
      </c>
      <c r="G101" t="s">
        <v>33</v>
      </c>
      <c r="H101" t="s">
        <v>21</v>
      </c>
      <c r="I101">
        <v>6</v>
      </c>
      <c r="J101" s="6">
        <v>4799</v>
      </c>
      <c r="K101" s="3">
        <v>0</v>
      </c>
      <c r="L101" s="6">
        <v>28794</v>
      </c>
      <c r="M101" s="6">
        <v>22024.53</v>
      </c>
      <c r="N101" s="6">
        <v>6769.47</v>
      </c>
      <c r="O101" t="s">
        <v>58</v>
      </c>
    </row>
    <row r="102" spans="1:15" x14ac:dyDescent="0.25">
      <c r="A102" t="s">
        <v>164</v>
      </c>
      <c r="B102" s="5">
        <v>45747</v>
      </c>
      <c r="C102" t="s">
        <v>38</v>
      </c>
      <c r="D102" t="s">
        <v>39</v>
      </c>
      <c r="E102" t="s">
        <v>57</v>
      </c>
      <c r="F102" t="s">
        <v>19</v>
      </c>
      <c r="G102" t="s">
        <v>62</v>
      </c>
      <c r="H102" t="s">
        <v>21</v>
      </c>
      <c r="I102">
        <v>1</v>
      </c>
      <c r="J102" s="6">
        <v>3545</v>
      </c>
      <c r="K102" s="3">
        <v>0.2</v>
      </c>
      <c r="L102" s="6">
        <v>2836</v>
      </c>
      <c r="M102" s="6">
        <v>1804.73</v>
      </c>
      <c r="N102" s="6">
        <v>1031.27</v>
      </c>
      <c r="O102" t="s">
        <v>22</v>
      </c>
    </row>
    <row r="103" spans="1:15" x14ac:dyDescent="0.25">
      <c r="A103" t="s">
        <v>165</v>
      </c>
      <c r="B103" s="5">
        <v>45747</v>
      </c>
      <c r="C103" t="s">
        <v>16</v>
      </c>
      <c r="D103" t="s">
        <v>17</v>
      </c>
      <c r="E103" t="s">
        <v>46</v>
      </c>
      <c r="F103" t="s">
        <v>32</v>
      </c>
      <c r="G103" t="s">
        <v>77</v>
      </c>
      <c r="H103" t="s">
        <v>53</v>
      </c>
      <c r="I103">
        <v>2</v>
      </c>
      <c r="J103" s="6">
        <v>18377</v>
      </c>
      <c r="K103" s="3">
        <v>0.05</v>
      </c>
      <c r="L103" s="6">
        <v>34916.300000000003</v>
      </c>
      <c r="M103" s="6">
        <v>27605.4</v>
      </c>
      <c r="N103" s="6">
        <v>7310.9</v>
      </c>
      <c r="O103" t="s">
        <v>22</v>
      </c>
    </row>
    <row r="104" spans="1:15" x14ac:dyDescent="0.25">
      <c r="A104" t="s">
        <v>166</v>
      </c>
      <c r="B104" s="5">
        <v>45748</v>
      </c>
      <c r="C104" t="s">
        <v>38</v>
      </c>
      <c r="D104" t="s">
        <v>39</v>
      </c>
      <c r="E104" t="s">
        <v>25</v>
      </c>
      <c r="F104" t="s">
        <v>32</v>
      </c>
      <c r="G104" t="s">
        <v>41</v>
      </c>
      <c r="H104" t="s">
        <v>42</v>
      </c>
      <c r="I104">
        <v>3</v>
      </c>
      <c r="J104" s="6">
        <v>10014</v>
      </c>
      <c r="K104" s="3">
        <v>0.05</v>
      </c>
      <c r="L104" s="6">
        <v>28539.9</v>
      </c>
      <c r="M104" s="6">
        <v>18418.73</v>
      </c>
      <c r="N104" s="6">
        <v>10121.17</v>
      </c>
      <c r="O104" t="s">
        <v>43</v>
      </c>
    </row>
    <row r="105" spans="1:15" x14ac:dyDescent="0.25">
      <c r="A105" t="s">
        <v>167</v>
      </c>
      <c r="B105" s="5">
        <v>45749</v>
      </c>
      <c r="C105" t="s">
        <v>79</v>
      </c>
      <c r="D105" t="s">
        <v>39</v>
      </c>
      <c r="E105" t="s">
        <v>36</v>
      </c>
      <c r="F105" t="s">
        <v>32</v>
      </c>
      <c r="G105" t="s">
        <v>33</v>
      </c>
      <c r="H105" t="s">
        <v>21</v>
      </c>
      <c r="I105">
        <v>7</v>
      </c>
      <c r="J105" s="6">
        <v>4275</v>
      </c>
      <c r="K105" s="3">
        <v>0</v>
      </c>
      <c r="L105" s="6">
        <v>29925</v>
      </c>
      <c r="M105" s="6">
        <v>18487.43</v>
      </c>
      <c r="N105" s="6">
        <v>11437.57</v>
      </c>
      <c r="O105" t="s">
        <v>74</v>
      </c>
    </row>
    <row r="106" spans="1:15" x14ac:dyDescent="0.25">
      <c r="A106" t="s">
        <v>168</v>
      </c>
      <c r="B106" s="5">
        <v>45749</v>
      </c>
      <c r="C106" t="s">
        <v>45</v>
      </c>
      <c r="D106" t="s">
        <v>39</v>
      </c>
      <c r="E106" t="s">
        <v>18</v>
      </c>
      <c r="F106" t="s">
        <v>26</v>
      </c>
      <c r="G106" t="s">
        <v>41</v>
      </c>
      <c r="H106" t="s">
        <v>42</v>
      </c>
      <c r="I106">
        <v>5</v>
      </c>
      <c r="J106" s="6">
        <v>9393</v>
      </c>
      <c r="K106" s="3">
        <v>0.1</v>
      </c>
      <c r="L106" s="6">
        <v>42268.5</v>
      </c>
      <c r="M106" s="6">
        <v>29907.4</v>
      </c>
      <c r="N106" s="6">
        <v>12361.1</v>
      </c>
      <c r="O106" t="s">
        <v>43</v>
      </c>
    </row>
    <row r="107" spans="1:15" x14ac:dyDescent="0.25">
      <c r="A107" t="s">
        <v>169</v>
      </c>
      <c r="B107" s="5">
        <v>45749</v>
      </c>
      <c r="C107" t="s">
        <v>16</v>
      </c>
      <c r="D107" t="s">
        <v>17</v>
      </c>
      <c r="E107" t="s">
        <v>57</v>
      </c>
      <c r="F107" t="s">
        <v>26</v>
      </c>
      <c r="G107" t="s">
        <v>86</v>
      </c>
      <c r="H107" t="s">
        <v>42</v>
      </c>
      <c r="I107">
        <v>8</v>
      </c>
      <c r="J107" s="6">
        <v>13163</v>
      </c>
      <c r="K107" s="3">
        <v>0.15</v>
      </c>
      <c r="L107" s="6">
        <v>89508.4</v>
      </c>
      <c r="M107" s="6">
        <v>54240.02</v>
      </c>
      <c r="N107" s="6">
        <v>35268.379999999997</v>
      </c>
      <c r="O107" t="s">
        <v>43</v>
      </c>
    </row>
    <row r="108" spans="1:15" x14ac:dyDescent="0.25">
      <c r="A108" t="s">
        <v>170</v>
      </c>
      <c r="B108" s="5">
        <v>45750</v>
      </c>
      <c r="C108" t="s">
        <v>16</v>
      </c>
      <c r="D108" t="s">
        <v>39</v>
      </c>
      <c r="E108" t="s">
        <v>40</v>
      </c>
      <c r="F108" t="s">
        <v>19</v>
      </c>
      <c r="G108" t="s">
        <v>86</v>
      </c>
      <c r="H108" t="s">
        <v>42</v>
      </c>
      <c r="I108">
        <v>3</v>
      </c>
      <c r="J108" s="6">
        <v>10821</v>
      </c>
      <c r="K108" s="3">
        <v>0.1</v>
      </c>
      <c r="L108" s="6">
        <v>29216.7</v>
      </c>
      <c r="M108" s="6">
        <v>21472.06</v>
      </c>
      <c r="N108" s="6">
        <v>7744.64</v>
      </c>
      <c r="O108" t="s">
        <v>43</v>
      </c>
    </row>
    <row r="109" spans="1:15" x14ac:dyDescent="0.25">
      <c r="A109" t="s">
        <v>171</v>
      </c>
      <c r="B109" s="5">
        <v>45751</v>
      </c>
      <c r="C109" t="s">
        <v>29</v>
      </c>
      <c r="D109" t="s">
        <v>39</v>
      </c>
      <c r="E109" t="s">
        <v>57</v>
      </c>
      <c r="F109" t="s">
        <v>32</v>
      </c>
      <c r="G109" t="s">
        <v>52</v>
      </c>
      <c r="H109" t="s">
        <v>53</v>
      </c>
      <c r="I109">
        <v>3</v>
      </c>
      <c r="J109" s="6">
        <v>67165</v>
      </c>
      <c r="K109" s="3">
        <v>0</v>
      </c>
      <c r="L109" s="6">
        <v>201495</v>
      </c>
      <c r="M109" s="6">
        <v>145946.60999999999</v>
      </c>
      <c r="N109" s="6">
        <v>55548.39</v>
      </c>
      <c r="O109" t="s">
        <v>22</v>
      </c>
    </row>
    <row r="110" spans="1:15" x14ac:dyDescent="0.25">
      <c r="A110" t="s">
        <v>172</v>
      </c>
      <c r="B110" s="5">
        <v>45753</v>
      </c>
      <c r="C110" t="s">
        <v>35</v>
      </c>
      <c r="D110" t="s">
        <v>48</v>
      </c>
      <c r="E110" t="s">
        <v>18</v>
      </c>
      <c r="F110" t="s">
        <v>26</v>
      </c>
      <c r="G110" t="s">
        <v>41</v>
      </c>
      <c r="H110" t="s">
        <v>42</v>
      </c>
      <c r="I110">
        <v>7</v>
      </c>
      <c r="J110" s="6">
        <v>10318</v>
      </c>
      <c r="K110" s="3">
        <v>0.15</v>
      </c>
      <c r="L110" s="6">
        <v>61392.1</v>
      </c>
      <c r="M110" s="6">
        <v>42629.37</v>
      </c>
      <c r="N110" s="6">
        <v>18762.73</v>
      </c>
      <c r="O110" t="s">
        <v>74</v>
      </c>
    </row>
    <row r="111" spans="1:15" x14ac:dyDescent="0.25">
      <c r="A111" t="s">
        <v>173</v>
      </c>
      <c r="B111" s="5">
        <v>45753</v>
      </c>
      <c r="C111" t="s">
        <v>79</v>
      </c>
      <c r="D111" t="s">
        <v>30</v>
      </c>
      <c r="E111" t="s">
        <v>36</v>
      </c>
      <c r="F111" t="s">
        <v>19</v>
      </c>
      <c r="G111" t="s">
        <v>86</v>
      </c>
      <c r="H111" t="s">
        <v>42</v>
      </c>
      <c r="I111">
        <v>4</v>
      </c>
      <c r="J111" s="6">
        <v>10870</v>
      </c>
      <c r="K111" s="3">
        <v>0.05</v>
      </c>
      <c r="L111" s="6">
        <v>41306</v>
      </c>
      <c r="M111" s="6">
        <v>30292.23</v>
      </c>
      <c r="N111" s="6">
        <v>11013.77</v>
      </c>
      <c r="O111" t="s">
        <v>27</v>
      </c>
    </row>
    <row r="112" spans="1:15" x14ac:dyDescent="0.25">
      <c r="A112" t="s">
        <v>174</v>
      </c>
      <c r="B112" s="5">
        <v>45753</v>
      </c>
      <c r="C112" t="s">
        <v>72</v>
      </c>
      <c r="D112" t="s">
        <v>39</v>
      </c>
      <c r="E112" t="s">
        <v>57</v>
      </c>
      <c r="F112" t="s">
        <v>32</v>
      </c>
      <c r="G112" t="s">
        <v>41</v>
      </c>
      <c r="H112" t="s">
        <v>42</v>
      </c>
      <c r="I112">
        <v>6</v>
      </c>
      <c r="J112" s="6">
        <v>9696</v>
      </c>
      <c r="K112" s="3">
        <v>0.15</v>
      </c>
      <c r="L112" s="6">
        <v>49449.599999999999</v>
      </c>
      <c r="M112" s="6">
        <v>40142.339999999997</v>
      </c>
      <c r="N112" s="6">
        <v>9307.26</v>
      </c>
      <c r="O112" t="s">
        <v>27</v>
      </c>
    </row>
    <row r="113" spans="1:15" x14ac:dyDescent="0.25">
      <c r="A113" t="s">
        <v>175</v>
      </c>
      <c r="B113" s="5">
        <v>45754</v>
      </c>
      <c r="C113" t="s">
        <v>38</v>
      </c>
      <c r="D113" t="s">
        <v>30</v>
      </c>
      <c r="E113" t="s">
        <v>49</v>
      </c>
      <c r="F113" t="s">
        <v>26</v>
      </c>
      <c r="G113" t="s">
        <v>33</v>
      </c>
      <c r="H113" t="s">
        <v>21</v>
      </c>
      <c r="I113">
        <v>4</v>
      </c>
      <c r="J113" s="6">
        <v>4768</v>
      </c>
      <c r="K113" s="3">
        <v>0.05</v>
      </c>
      <c r="L113" s="6">
        <v>18118.400000000001</v>
      </c>
      <c r="M113" s="6">
        <v>12671.53</v>
      </c>
      <c r="N113" s="6">
        <v>5446.87</v>
      </c>
      <c r="O113" t="s">
        <v>22</v>
      </c>
    </row>
    <row r="114" spans="1:15" x14ac:dyDescent="0.25">
      <c r="A114" t="s">
        <v>176</v>
      </c>
      <c r="B114" s="5">
        <v>45755</v>
      </c>
      <c r="C114" t="s">
        <v>91</v>
      </c>
      <c r="D114" t="s">
        <v>39</v>
      </c>
      <c r="E114" t="s">
        <v>46</v>
      </c>
      <c r="F114" t="s">
        <v>26</v>
      </c>
      <c r="G114" t="s">
        <v>86</v>
      </c>
      <c r="H114" t="s">
        <v>42</v>
      </c>
      <c r="I114">
        <v>3</v>
      </c>
      <c r="J114" s="6">
        <v>11121</v>
      </c>
      <c r="K114" s="3">
        <v>0</v>
      </c>
      <c r="L114" s="6">
        <v>33363</v>
      </c>
      <c r="M114" s="6">
        <v>20570.919999999998</v>
      </c>
      <c r="N114" s="6">
        <v>12792.08</v>
      </c>
      <c r="O114" t="s">
        <v>22</v>
      </c>
    </row>
    <row r="115" spans="1:15" x14ac:dyDescent="0.25">
      <c r="A115" t="s">
        <v>177</v>
      </c>
      <c r="B115" s="5">
        <v>45756</v>
      </c>
      <c r="C115" t="s">
        <v>72</v>
      </c>
      <c r="D115" t="s">
        <v>39</v>
      </c>
      <c r="E115" t="s">
        <v>36</v>
      </c>
      <c r="F115" t="s">
        <v>32</v>
      </c>
      <c r="G115" t="s">
        <v>52</v>
      </c>
      <c r="H115" t="s">
        <v>53</v>
      </c>
      <c r="I115">
        <v>7</v>
      </c>
      <c r="J115" s="6">
        <v>66002</v>
      </c>
      <c r="K115" s="3">
        <v>0.05</v>
      </c>
      <c r="L115" s="6">
        <v>438913.3</v>
      </c>
      <c r="M115" s="6">
        <v>339394.45</v>
      </c>
      <c r="N115" s="6">
        <v>99518.85</v>
      </c>
      <c r="O115" t="s">
        <v>58</v>
      </c>
    </row>
    <row r="116" spans="1:15" x14ac:dyDescent="0.25">
      <c r="A116" t="s">
        <v>178</v>
      </c>
      <c r="B116" s="5">
        <v>45756</v>
      </c>
      <c r="C116" t="s">
        <v>91</v>
      </c>
      <c r="D116" t="s">
        <v>39</v>
      </c>
      <c r="E116" t="s">
        <v>36</v>
      </c>
      <c r="F116" t="s">
        <v>26</v>
      </c>
      <c r="G116" t="s">
        <v>62</v>
      </c>
      <c r="H116" t="s">
        <v>21</v>
      </c>
      <c r="I116">
        <v>1</v>
      </c>
      <c r="J116" s="6">
        <v>3697</v>
      </c>
      <c r="K116" s="3">
        <v>0.05</v>
      </c>
      <c r="L116" s="6">
        <v>3512.15</v>
      </c>
      <c r="M116" s="6">
        <v>2244.65</v>
      </c>
      <c r="N116" s="6">
        <v>1267.5</v>
      </c>
      <c r="O116" t="s">
        <v>74</v>
      </c>
    </row>
    <row r="117" spans="1:15" x14ac:dyDescent="0.25">
      <c r="A117" t="s">
        <v>179</v>
      </c>
      <c r="B117" s="5">
        <v>45756</v>
      </c>
      <c r="C117" t="s">
        <v>16</v>
      </c>
      <c r="D117" t="s">
        <v>48</v>
      </c>
      <c r="E117" t="s">
        <v>46</v>
      </c>
      <c r="F117" t="s">
        <v>32</v>
      </c>
      <c r="G117" t="s">
        <v>86</v>
      </c>
      <c r="H117" t="s">
        <v>42</v>
      </c>
      <c r="I117">
        <v>4</v>
      </c>
      <c r="J117" s="6">
        <v>12414</v>
      </c>
      <c r="K117" s="3">
        <v>0.15</v>
      </c>
      <c r="L117" s="6">
        <v>42207.6</v>
      </c>
      <c r="M117" s="6">
        <v>32674.9</v>
      </c>
      <c r="N117" s="6">
        <v>9532.7000000000007</v>
      </c>
      <c r="O117" t="s">
        <v>27</v>
      </c>
    </row>
    <row r="118" spans="1:15" x14ac:dyDescent="0.25">
      <c r="A118" t="s">
        <v>180</v>
      </c>
      <c r="B118" s="5">
        <v>45757</v>
      </c>
      <c r="C118" t="s">
        <v>96</v>
      </c>
      <c r="D118" t="s">
        <v>17</v>
      </c>
      <c r="E118" t="s">
        <v>46</v>
      </c>
      <c r="F118" t="s">
        <v>32</v>
      </c>
      <c r="G118" t="s">
        <v>77</v>
      </c>
      <c r="H118" t="s">
        <v>53</v>
      </c>
      <c r="I118">
        <v>4</v>
      </c>
      <c r="J118" s="6">
        <v>17548</v>
      </c>
      <c r="K118" s="3">
        <v>0.1</v>
      </c>
      <c r="L118" s="6">
        <v>63172.800000000003</v>
      </c>
      <c r="M118" s="6">
        <v>44896.28</v>
      </c>
      <c r="N118" s="6">
        <v>18276.52</v>
      </c>
      <c r="O118" t="s">
        <v>43</v>
      </c>
    </row>
    <row r="119" spans="1:15" x14ac:dyDescent="0.25">
      <c r="A119" t="s">
        <v>181</v>
      </c>
      <c r="B119" s="5">
        <v>45757</v>
      </c>
      <c r="C119" t="s">
        <v>72</v>
      </c>
      <c r="D119" t="s">
        <v>30</v>
      </c>
      <c r="E119" t="s">
        <v>49</v>
      </c>
      <c r="F119" t="s">
        <v>19</v>
      </c>
      <c r="G119" t="s">
        <v>64</v>
      </c>
      <c r="H119" t="s">
        <v>53</v>
      </c>
      <c r="I119">
        <v>5</v>
      </c>
      <c r="J119" s="6">
        <v>25401</v>
      </c>
      <c r="K119" s="3">
        <v>0.05</v>
      </c>
      <c r="L119" s="6">
        <v>120654.75</v>
      </c>
      <c r="M119" s="6">
        <v>97100.24</v>
      </c>
      <c r="N119" s="6">
        <v>23554.51</v>
      </c>
      <c r="O119" t="s">
        <v>43</v>
      </c>
    </row>
    <row r="120" spans="1:15" x14ac:dyDescent="0.25">
      <c r="A120" t="s">
        <v>182</v>
      </c>
      <c r="B120" s="5">
        <v>45758</v>
      </c>
      <c r="C120" t="s">
        <v>38</v>
      </c>
      <c r="D120" t="s">
        <v>30</v>
      </c>
      <c r="E120" t="s">
        <v>46</v>
      </c>
      <c r="F120" t="s">
        <v>26</v>
      </c>
      <c r="G120" t="s">
        <v>82</v>
      </c>
      <c r="H120" t="s">
        <v>21</v>
      </c>
      <c r="I120">
        <v>6</v>
      </c>
      <c r="J120" s="6">
        <v>1134</v>
      </c>
      <c r="K120" s="3">
        <v>0.2</v>
      </c>
      <c r="L120" s="6">
        <v>5443.2</v>
      </c>
      <c r="M120" s="6">
        <v>4355</v>
      </c>
      <c r="N120" s="6">
        <v>1088.2</v>
      </c>
      <c r="O120" t="s">
        <v>43</v>
      </c>
    </row>
    <row r="121" spans="1:15" x14ac:dyDescent="0.25">
      <c r="A121" t="s">
        <v>183</v>
      </c>
      <c r="B121" s="5">
        <v>45758</v>
      </c>
      <c r="C121" t="s">
        <v>72</v>
      </c>
      <c r="D121" t="s">
        <v>30</v>
      </c>
      <c r="E121" t="s">
        <v>46</v>
      </c>
      <c r="F121" t="s">
        <v>19</v>
      </c>
      <c r="G121" t="s">
        <v>52</v>
      </c>
      <c r="H121" t="s">
        <v>53</v>
      </c>
      <c r="I121">
        <v>8</v>
      </c>
      <c r="J121" s="6">
        <v>68509</v>
      </c>
      <c r="K121" s="3">
        <v>0.05</v>
      </c>
      <c r="L121" s="6">
        <v>520668.4</v>
      </c>
      <c r="M121" s="6">
        <v>383751.31</v>
      </c>
      <c r="N121" s="6">
        <v>136917.09</v>
      </c>
      <c r="O121" t="s">
        <v>58</v>
      </c>
    </row>
    <row r="122" spans="1:15" x14ac:dyDescent="0.25">
      <c r="A122" t="s">
        <v>184</v>
      </c>
      <c r="B122" s="5">
        <v>45758</v>
      </c>
      <c r="C122" t="s">
        <v>35</v>
      </c>
      <c r="D122" t="s">
        <v>30</v>
      </c>
      <c r="E122" t="s">
        <v>46</v>
      </c>
      <c r="F122" t="s">
        <v>32</v>
      </c>
      <c r="G122" t="s">
        <v>107</v>
      </c>
      <c r="H122" t="s">
        <v>108</v>
      </c>
      <c r="I122">
        <v>4</v>
      </c>
      <c r="J122" s="6">
        <v>15437</v>
      </c>
      <c r="K122" s="3">
        <v>0.1</v>
      </c>
      <c r="L122" s="6">
        <v>55573.2</v>
      </c>
      <c r="M122" s="6">
        <v>37697.599999999999</v>
      </c>
      <c r="N122" s="6">
        <v>17875.599999999999</v>
      </c>
      <c r="O122" t="s">
        <v>74</v>
      </c>
    </row>
    <row r="123" spans="1:15" x14ac:dyDescent="0.25">
      <c r="A123" t="s">
        <v>185</v>
      </c>
      <c r="B123" s="5">
        <v>45758</v>
      </c>
      <c r="C123" t="s">
        <v>38</v>
      </c>
      <c r="D123" t="s">
        <v>39</v>
      </c>
      <c r="E123" t="s">
        <v>25</v>
      </c>
      <c r="F123" t="s">
        <v>26</v>
      </c>
      <c r="G123" t="s">
        <v>20</v>
      </c>
      <c r="H123" t="s">
        <v>21</v>
      </c>
      <c r="I123">
        <v>1</v>
      </c>
      <c r="J123" s="6">
        <v>2610</v>
      </c>
      <c r="K123" s="3">
        <v>0.05</v>
      </c>
      <c r="L123" s="6">
        <v>2479.5</v>
      </c>
      <c r="M123" s="6">
        <v>1627.38</v>
      </c>
      <c r="N123" s="6">
        <v>852.12</v>
      </c>
      <c r="O123" t="s">
        <v>27</v>
      </c>
    </row>
    <row r="124" spans="1:15" x14ac:dyDescent="0.25">
      <c r="A124" t="s">
        <v>186</v>
      </c>
      <c r="B124" s="5">
        <v>45758</v>
      </c>
      <c r="C124" t="s">
        <v>51</v>
      </c>
      <c r="D124" t="s">
        <v>30</v>
      </c>
      <c r="E124" t="s">
        <v>25</v>
      </c>
      <c r="F124" t="s">
        <v>32</v>
      </c>
      <c r="G124" t="s">
        <v>64</v>
      </c>
      <c r="H124" t="s">
        <v>53</v>
      </c>
      <c r="I124">
        <v>4</v>
      </c>
      <c r="J124" s="6">
        <v>26915</v>
      </c>
      <c r="K124" s="3">
        <v>0.1</v>
      </c>
      <c r="L124" s="6">
        <v>96894</v>
      </c>
      <c r="M124" s="6">
        <v>69371.17</v>
      </c>
      <c r="N124" s="6">
        <v>27522.83</v>
      </c>
      <c r="O124" t="s">
        <v>43</v>
      </c>
    </row>
    <row r="125" spans="1:15" x14ac:dyDescent="0.25">
      <c r="A125" t="s">
        <v>187</v>
      </c>
      <c r="B125" s="5">
        <v>45758</v>
      </c>
      <c r="C125" t="s">
        <v>35</v>
      </c>
      <c r="D125" t="s">
        <v>39</v>
      </c>
      <c r="E125" t="s">
        <v>46</v>
      </c>
      <c r="F125" t="s">
        <v>26</v>
      </c>
      <c r="G125" t="s">
        <v>64</v>
      </c>
      <c r="H125" t="s">
        <v>53</v>
      </c>
      <c r="I125">
        <v>8</v>
      </c>
      <c r="J125" s="6">
        <v>27059</v>
      </c>
      <c r="K125" s="3">
        <v>0.1</v>
      </c>
      <c r="L125" s="6">
        <v>194824.8</v>
      </c>
      <c r="M125" s="6">
        <v>154211.51999999999</v>
      </c>
      <c r="N125" s="6">
        <v>40613.279999999999</v>
      </c>
      <c r="O125" t="s">
        <v>43</v>
      </c>
    </row>
    <row r="126" spans="1:15" x14ac:dyDescent="0.25">
      <c r="A126" t="s">
        <v>188</v>
      </c>
      <c r="B126" s="5">
        <v>45759</v>
      </c>
      <c r="C126" t="s">
        <v>16</v>
      </c>
      <c r="D126" t="s">
        <v>48</v>
      </c>
      <c r="E126" t="s">
        <v>40</v>
      </c>
      <c r="F126" t="s">
        <v>32</v>
      </c>
      <c r="G126" t="s">
        <v>52</v>
      </c>
      <c r="H126" t="s">
        <v>53</v>
      </c>
      <c r="I126">
        <v>6</v>
      </c>
      <c r="J126" s="6">
        <v>68403</v>
      </c>
      <c r="K126" s="3">
        <v>0.05</v>
      </c>
      <c r="L126" s="6">
        <v>389897.1</v>
      </c>
      <c r="M126" s="6">
        <v>277794.12</v>
      </c>
      <c r="N126" s="6">
        <v>112102.98</v>
      </c>
      <c r="O126" t="s">
        <v>58</v>
      </c>
    </row>
    <row r="127" spans="1:15" x14ac:dyDescent="0.25">
      <c r="A127" t="s">
        <v>189</v>
      </c>
      <c r="B127" s="5">
        <v>45759</v>
      </c>
      <c r="C127" t="s">
        <v>67</v>
      </c>
      <c r="D127" t="s">
        <v>48</v>
      </c>
      <c r="E127" t="s">
        <v>18</v>
      </c>
      <c r="F127" t="s">
        <v>32</v>
      </c>
      <c r="G127" t="s">
        <v>64</v>
      </c>
      <c r="H127" t="s">
        <v>53</v>
      </c>
      <c r="I127">
        <v>6</v>
      </c>
      <c r="J127" s="6">
        <v>30006</v>
      </c>
      <c r="K127" s="3">
        <v>0.05</v>
      </c>
      <c r="L127" s="6">
        <v>171034.2</v>
      </c>
      <c r="M127" s="6">
        <v>136890.54999999999</v>
      </c>
      <c r="N127" s="6">
        <v>34143.65</v>
      </c>
      <c r="O127" t="s">
        <v>74</v>
      </c>
    </row>
    <row r="128" spans="1:15" x14ac:dyDescent="0.25">
      <c r="A128" t="s">
        <v>190</v>
      </c>
      <c r="B128" s="5">
        <v>45759</v>
      </c>
      <c r="C128" t="s">
        <v>45</v>
      </c>
      <c r="D128" t="s">
        <v>48</v>
      </c>
      <c r="E128" t="s">
        <v>49</v>
      </c>
      <c r="F128" t="s">
        <v>32</v>
      </c>
      <c r="G128" t="s">
        <v>62</v>
      </c>
      <c r="H128" t="s">
        <v>21</v>
      </c>
      <c r="I128">
        <v>5</v>
      </c>
      <c r="J128" s="6">
        <v>3728</v>
      </c>
      <c r="K128" s="3">
        <v>0.1</v>
      </c>
      <c r="L128" s="6">
        <v>16776</v>
      </c>
      <c r="M128" s="6">
        <v>12926.81</v>
      </c>
      <c r="N128" s="6">
        <v>3849.19</v>
      </c>
      <c r="O128" t="s">
        <v>22</v>
      </c>
    </row>
    <row r="129" spans="1:15" x14ac:dyDescent="0.25">
      <c r="A129" t="s">
        <v>191</v>
      </c>
      <c r="B129" s="5">
        <v>45759</v>
      </c>
      <c r="C129" t="s">
        <v>24</v>
      </c>
      <c r="D129" t="s">
        <v>30</v>
      </c>
      <c r="E129" t="s">
        <v>18</v>
      </c>
      <c r="F129" t="s">
        <v>19</v>
      </c>
      <c r="G129" t="s">
        <v>41</v>
      </c>
      <c r="H129" t="s">
        <v>42</v>
      </c>
      <c r="I129">
        <v>6</v>
      </c>
      <c r="J129" s="6">
        <v>9442</v>
      </c>
      <c r="K129" s="3">
        <v>0.15</v>
      </c>
      <c r="L129" s="6">
        <v>48154.2</v>
      </c>
      <c r="M129" s="6">
        <v>36390.07</v>
      </c>
      <c r="N129" s="6">
        <v>11764.13</v>
      </c>
      <c r="O129" t="s">
        <v>22</v>
      </c>
    </row>
    <row r="130" spans="1:15" x14ac:dyDescent="0.25">
      <c r="A130" t="s">
        <v>192</v>
      </c>
      <c r="B130" s="5">
        <v>45760</v>
      </c>
      <c r="C130" t="s">
        <v>67</v>
      </c>
      <c r="D130" t="s">
        <v>48</v>
      </c>
      <c r="E130" t="s">
        <v>25</v>
      </c>
      <c r="F130" t="s">
        <v>26</v>
      </c>
      <c r="G130" t="s">
        <v>82</v>
      </c>
      <c r="H130" t="s">
        <v>21</v>
      </c>
      <c r="I130">
        <v>5</v>
      </c>
      <c r="J130" s="6">
        <v>1124</v>
      </c>
      <c r="K130" s="3">
        <v>0.15</v>
      </c>
      <c r="L130" s="6">
        <v>4777</v>
      </c>
      <c r="M130" s="6">
        <v>3493.45</v>
      </c>
      <c r="N130" s="6">
        <v>1283.55</v>
      </c>
      <c r="O130" t="s">
        <v>58</v>
      </c>
    </row>
    <row r="131" spans="1:15" x14ac:dyDescent="0.25">
      <c r="A131" t="s">
        <v>193</v>
      </c>
      <c r="B131" s="5">
        <v>45761</v>
      </c>
      <c r="C131" t="s">
        <v>91</v>
      </c>
      <c r="D131" t="s">
        <v>48</v>
      </c>
      <c r="E131" t="s">
        <v>57</v>
      </c>
      <c r="F131" t="s">
        <v>19</v>
      </c>
      <c r="G131" t="s">
        <v>33</v>
      </c>
      <c r="H131" t="s">
        <v>21</v>
      </c>
      <c r="I131">
        <v>1</v>
      </c>
      <c r="J131" s="6">
        <v>4271</v>
      </c>
      <c r="K131" s="3">
        <v>0.15</v>
      </c>
      <c r="L131" s="6">
        <v>3630.35</v>
      </c>
      <c r="M131" s="6">
        <v>2816.69</v>
      </c>
      <c r="N131" s="6">
        <v>813.66</v>
      </c>
      <c r="O131" t="s">
        <v>27</v>
      </c>
    </row>
    <row r="132" spans="1:15" x14ac:dyDescent="0.25">
      <c r="A132" t="s">
        <v>194</v>
      </c>
      <c r="B132" s="5">
        <v>45762</v>
      </c>
      <c r="C132" t="s">
        <v>45</v>
      </c>
      <c r="D132" t="s">
        <v>30</v>
      </c>
      <c r="E132" t="s">
        <v>18</v>
      </c>
      <c r="F132" t="s">
        <v>32</v>
      </c>
      <c r="G132" t="s">
        <v>33</v>
      </c>
      <c r="H132" t="s">
        <v>21</v>
      </c>
      <c r="I132">
        <v>2</v>
      </c>
      <c r="J132" s="6">
        <v>4849</v>
      </c>
      <c r="K132" s="3">
        <v>0.1</v>
      </c>
      <c r="L132" s="6">
        <v>8728.2000000000007</v>
      </c>
      <c r="M132" s="6">
        <v>6201.16</v>
      </c>
      <c r="N132" s="6">
        <v>2527.04</v>
      </c>
      <c r="O132" t="s">
        <v>43</v>
      </c>
    </row>
    <row r="133" spans="1:15" x14ac:dyDescent="0.25">
      <c r="A133" t="s">
        <v>195</v>
      </c>
      <c r="B133" s="5">
        <v>45762</v>
      </c>
      <c r="C133" t="s">
        <v>24</v>
      </c>
      <c r="D133" t="s">
        <v>17</v>
      </c>
      <c r="E133" t="s">
        <v>40</v>
      </c>
      <c r="F133" t="s">
        <v>32</v>
      </c>
      <c r="G133" t="s">
        <v>41</v>
      </c>
      <c r="H133" t="s">
        <v>42</v>
      </c>
      <c r="I133">
        <v>3</v>
      </c>
      <c r="J133" s="6">
        <v>9068</v>
      </c>
      <c r="K133" s="3">
        <v>0.1</v>
      </c>
      <c r="L133" s="6">
        <v>24483.599999999999</v>
      </c>
      <c r="M133" s="6">
        <v>14929.19</v>
      </c>
      <c r="N133" s="6">
        <v>9554.41</v>
      </c>
      <c r="O133" t="s">
        <v>74</v>
      </c>
    </row>
    <row r="134" spans="1:15" x14ac:dyDescent="0.25">
      <c r="A134" t="s">
        <v>196</v>
      </c>
      <c r="B134" s="5">
        <v>45763</v>
      </c>
      <c r="C134" t="s">
        <v>29</v>
      </c>
      <c r="D134" t="s">
        <v>39</v>
      </c>
      <c r="E134" t="s">
        <v>57</v>
      </c>
      <c r="F134" t="s">
        <v>32</v>
      </c>
      <c r="G134" t="s">
        <v>64</v>
      </c>
      <c r="H134" t="s">
        <v>53</v>
      </c>
      <c r="I134">
        <v>4</v>
      </c>
      <c r="J134" s="6">
        <v>25785</v>
      </c>
      <c r="K134" s="3">
        <v>0.1</v>
      </c>
      <c r="L134" s="6">
        <v>92826</v>
      </c>
      <c r="M134" s="6">
        <v>70123.05</v>
      </c>
      <c r="N134" s="6">
        <v>22702.95</v>
      </c>
      <c r="O134" t="s">
        <v>74</v>
      </c>
    </row>
    <row r="135" spans="1:15" x14ac:dyDescent="0.25">
      <c r="A135" t="s">
        <v>197</v>
      </c>
      <c r="B135" s="5">
        <v>45764</v>
      </c>
      <c r="C135" t="s">
        <v>29</v>
      </c>
      <c r="D135" t="s">
        <v>39</v>
      </c>
      <c r="E135" t="s">
        <v>46</v>
      </c>
      <c r="F135" t="s">
        <v>19</v>
      </c>
      <c r="G135" t="s">
        <v>77</v>
      </c>
      <c r="H135" t="s">
        <v>53</v>
      </c>
      <c r="I135">
        <v>1</v>
      </c>
      <c r="J135" s="6">
        <v>16993</v>
      </c>
      <c r="K135" s="3">
        <v>0</v>
      </c>
      <c r="L135" s="6">
        <v>16993</v>
      </c>
      <c r="M135" s="6">
        <v>13110.25</v>
      </c>
      <c r="N135" s="6">
        <v>3882.75</v>
      </c>
      <c r="O135" t="s">
        <v>74</v>
      </c>
    </row>
    <row r="136" spans="1:15" x14ac:dyDescent="0.25">
      <c r="A136" t="s">
        <v>198</v>
      </c>
      <c r="B136" s="5">
        <v>45764</v>
      </c>
      <c r="C136" t="s">
        <v>79</v>
      </c>
      <c r="D136" t="s">
        <v>48</v>
      </c>
      <c r="E136" t="s">
        <v>46</v>
      </c>
      <c r="F136" t="s">
        <v>26</v>
      </c>
      <c r="G136" t="s">
        <v>20</v>
      </c>
      <c r="H136" t="s">
        <v>21</v>
      </c>
      <c r="I136">
        <v>1</v>
      </c>
      <c r="J136" s="6">
        <v>2671</v>
      </c>
      <c r="K136" s="3">
        <v>0.05</v>
      </c>
      <c r="L136" s="6">
        <v>2537.4499999999998</v>
      </c>
      <c r="M136" s="6">
        <v>1962.88</v>
      </c>
      <c r="N136" s="6">
        <v>574.57000000000005</v>
      </c>
      <c r="O136" t="s">
        <v>74</v>
      </c>
    </row>
    <row r="137" spans="1:15" x14ac:dyDescent="0.25">
      <c r="A137" t="s">
        <v>199</v>
      </c>
      <c r="B137" s="5">
        <v>45765</v>
      </c>
      <c r="C137" t="s">
        <v>79</v>
      </c>
      <c r="D137" t="s">
        <v>48</v>
      </c>
      <c r="E137" t="s">
        <v>36</v>
      </c>
      <c r="F137" t="s">
        <v>26</v>
      </c>
      <c r="G137" t="s">
        <v>77</v>
      </c>
      <c r="H137" t="s">
        <v>53</v>
      </c>
      <c r="I137">
        <v>1</v>
      </c>
      <c r="J137" s="6">
        <v>16980</v>
      </c>
      <c r="K137" s="3">
        <v>0</v>
      </c>
      <c r="L137" s="6">
        <v>16980</v>
      </c>
      <c r="M137" s="6">
        <v>10276.299999999999</v>
      </c>
      <c r="N137" s="6">
        <v>6703.7</v>
      </c>
      <c r="O137" t="s">
        <v>58</v>
      </c>
    </row>
    <row r="138" spans="1:15" x14ac:dyDescent="0.25">
      <c r="A138" t="s">
        <v>200</v>
      </c>
      <c r="B138" s="5">
        <v>45765</v>
      </c>
      <c r="C138" t="s">
        <v>88</v>
      </c>
      <c r="D138" t="s">
        <v>30</v>
      </c>
      <c r="E138" t="s">
        <v>31</v>
      </c>
      <c r="F138" t="s">
        <v>32</v>
      </c>
      <c r="G138" t="s">
        <v>82</v>
      </c>
      <c r="H138" t="s">
        <v>21</v>
      </c>
      <c r="I138">
        <v>5</v>
      </c>
      <c r="J138" s="6">
        <v>1299</v>
      </c>
      <c r="K138" s="3">
        <v>0.05</v>
      </c>
      <c r="L138" s="6">
        <v>6170.25</v>
      </c>
      <c r="M138" s="6">
        <v>4848.13</v>
      </c>
      <c r="N138" s="6">
        <v>1322.12</v>
      </c>
      <c r="O138" t="s">
        <v>22</v>
      </c>
    </row>
    <row r="139" spans="1:15" x14ac:dyDescent="0.25">
      <c r="A139" t="s">
        <v>201</v>
      </c>
      <c r="B139" s="5">
        <v>45766</v>
      </c>
      <c r="C139" t="s">
        <v>35</v>
      </c>
      <c r="D139" t="s">
        <v>30</v>
      </c>
      <c r="E139" t="s">
        <v>46</v>
      </c>
      <c r="F139" t="s">
        <v>26</v>
      </c>
      <c r="G139" t="s">
        <v>107</v>
      </c>
      <c r="H139" t="s">
        <v>108</v>
      </c>
      <c r="I139">
        <v>4</v>
      </c>
      <c r="J139" s="6">
        <v>16440</v>
      </c>
      <c r="K139" s="3">
        <v>0.1</v>
      </c>
      <c r="L139" s="6">
        <v>59184</v>
      </c>
      <c r="M139" s="6">
        <v>42440.65</v>
      </c>
      <c r="N139" s="6">
        <v>16743.349999999999</v>
      </c>
      <c r="O139" t="s">
        <v>58</v>
      </c>
    </row>
    <row r="140" spans="1:15" x14ac:dyDescent="0.25">
      <c r="A140" t="s">
        <v>202</v>
      </c>
      <c r="B140" s="5">
        <v>45766</v>
      </c>
      <c r="C140" t="s">
        <v>16</v>
      </c>
      <c r="D140" t="s">
        <v>48</v>
      </c>
      <c r="E140" t="s">
        <v>57</v>
      </c>
      <c r="F140" t="s">
        <v>26</v>
      </c>
      <c r="G140" t="s">
        <v>52</v>
      </c>
      <c r="H140" t="s">
        <v>53</v>
      </c>
      <c r="I140">
        <v>5</v>
      </c>
      <c r="J140" s="6">
        <v>67839</v>
      </c>
      <c r="K140" s="3">
        <v>0.2</v>
      </c>
      <c r="L140" s="6">
        <v>271356</v>
      </c>
      <c r="M140" s="6">
        <v>205879.58</v>
      </c>
      <c r="N140" s="6">
        <v>65476.42</v>
      </c>
      <c r="O140" t="s">
        <v>22</v>
      </c>
    </row>
    <row r="141" spans="1:15" x14ac:dyDescent="0.25">
      <c r="A141" t="s">
        <v>203</v>
      </c>
      <c r="B141" s="5">
        <v>45766</v>
      </c>
      <c r="C141" t="s">
        <v>96</v>
      </c>
      <c r="D141" t="s">
        <v>17</v>
      </c>
      <c r="E141" t="s">
        <v>25</v>
      </c>
      <c r="F141" t="s">
        <v>26</v>
      </c>
      <c r="G141" t="s">
        <v>20</v>
      </c>
      <c r="H141" t="s">
        <v>21</v>
      </c>
      <c r="I141">
        <v>7</v>
      </c>
      <c r="J141" s="6">
        <v>2346</v>
      </c>
      <c r="K141" s="3">
        <v>0.15</v>
      </c>
      <c r="L141" s="6">
        <v>13958.7</v>
      </c>
      <c r="M141" s="6">
        <v>10454.049999999999</v>
      </c>
      <c r="N141" s="6">
        <v>3504.65</v>
      </c>
      <c r="O141" t="s">
        <v>74</v>
      </c>
    </row>
    <row r="142" spans="1:15" x14ac:dyDescent="0.25">
      <c r="A142" t="s">
        <v>204</v>
      </c>
      <c r="B142" s="5">
        <v>45767</v>
      </c>
      <c r="C142" t="s">
        <v>69</v>
      </c>
      <c r="D142" t="s">
        <v>17</v>
      </c>
      <c r="E142" t="s">
        <v>40</v>
      </c>
      <c r="F142" t="s">
        <v>19</v>
      </c>
      <c r="G142" t="s">
        <v>77</v>
      </c>
      <c r="H142" t="s">
        <v>53</v>
      </c>
      <c r="I142">
        <v>7</v>
      </c>
      <c r="J142" s="6">
        <v>18426</v>
      </c>
      <c r="K142" s="3">
        <v>0.1</v>
      </c>
      <c r="L142" s="6">
        <v>116083.8</v>
      </c>
      <c r="M142" s="6">
        <v>81635.09</v>
      </c>
      <c r="N142" s="6">
        <v>34448.71</v>
      </c>
      <c r="O142" t="s">
        <v>74</v>
      </c>
    </row>
    <row r="143" spans="1:15" x14ac:dyDescent="0.25">
      <c r="A143" t="s">
        <v>205</v>
      </c>
      <c r="B143" s="5">
        <v>45768</v>
      </c>
      <c r="C143" t="s">
        <v>88</v>
      </c>
      <c r="D143" t="s">
        <v>17</v>
      </c>
      <c r="E143" t="s">
        <v>31</v>
      </c>
      <c r="F143" t="s">
        <v>32</v>
      </c>
      <c r="G143" t="s">
        <v>86</v>
      </c>
      <c r="H143" t="s">
        <v>42</v>
      </c>
      <c r="I143">
        <v>7</v>
      </c>
      <c r="J143" s="6">
        <v>11107</v>
      </c>
      <c r="K143" s="3">
        <v>0</v>
      </c>
      <c r="L143" s="6">
        <v>77749</v>
      </c>
      <c r="M143" s="6">
        <v>49024.01</v>
      </c>
      <c r="N143" s="6">
        <v>28724.99</v>
      </c>
      <c r="O143" t="s">
        <v>58</v>
      </c>
    </row>
    <row r="144" spans="1:15" x14ac:dyDescent="0.25">
      <c r="A144" t="s">
        <v>206</v>
      </c>
      <c r="B144" s="5">
        <v>45768</v>
      </c>
      <c r="C144" t="s">
        <v>88</v>
      </c>
      <c r="D144" t="s">
        <v>17</v>
      </c>
      <c r="E144" t="s">
        <v>46</v>
      </c>
      <c r="F144" t="s">
        <v>19</v>
      </c>
      <c r="G144" t="s">
        <v>20</v>
      </c>
      <c r="H144" t="s">
        <v>21</v>
      </c>
      <c r="I144">
        <v>1</v>
      </c>
      <c r="J144" s="6">
        <v>2523</v>
      </c>
      <c r="K144" s="3">
        <v>0.15</v>
      </c>
      <c r="L144" s="6">
        <v>2144.5500000000002</v>
      </c>
      <c r="M144" s="6">
        <v>1572.71</v>
      </c>
      <c r="N144" s="6">
        <v>571.84</v>
      </c>
      <c r="O144" t="s">
        <v>58</v>
      </c>
    </row>
    <row r="145" spans="1:15" x14ac:dyDescent="0.25">
      <c r="A145" t="s">
        <v>207</v>
      </c>
      <c r="B145" s="5">
        <v>45769</v>
      </c>
      <c r="C145" t="s">
        <v>67</v>
      </c>
      <c r="D145" t="s">
        <v>17</v>
      </c>
      <c r="E145" t="s">
        <v>25</v>
      </c>
      <c r="F145" t="s">
        <v>32</v>
      </c>
      <c r="G145" t="s">
        <v>64</v>
      </c>
      <c r="H145" t="s">
        <v>53</v>
      </c>
      <c r="I145">
        <v>1</v>
      </c>
      <c r="J145" s="6">
        <v>28059</v>
      </c>
      <c r="K145" s="3">
        <v>0.1</v>
      </c>
      <c r="L145" s="6">
        <v>25253.1</v>
      </c>
      <c r="M145" s="6">
        <v>20210.900000000001</v>
      </c>
      <c r="N145" s="6">
        <v>5042.2</v>
      </c>
      <c r="O145" t="s">
        <v>43</v>
      </c>
    </row>
    <row r="146" spans="1:15" x14ac:dyDescent="0.25">
      <c r="A146" t="s">
        <v>208</v>
      </c>
      <c r="B146" s="5">
        <v>45769</v>
      </c>
      <c r="C146" t="s">
        <v>51</v>
      </c>
      <c r="D146" t="s">
        <v>30</v>
      </c>
      <c r="E146" t="s">
        <v>46</v>
      </c>
      <c r="F146" t="s">
        <v>19</v>
      </c>
      <c r="G146" t="s">
        <v>64</v>
      </c>
      <c r="H146" t="s">
        <v>53</v>
      </c>
      <c r="I146">
        <v>1</v>
      </c>
      <c r="J146" s="6">
        <v>27673</v>
      </c>
      <c r="K146" s="3">
        <v>0.2</v>
      </c>
      <c r="L146" s="6">
        <v>22138.400000000001</v>
      </c>
      <c r="M146" s="6">
        <v>15210.32</v>
      </c>
      <c r="N146" s="6">
        <v>6928.08</v>
      </c>
      <c r="O146" t="s">
        <v>74</v>
      </c>
    </row>
    <row r="147" spans="1:15" x14ac:dyDescent="0.25">
      <c r="A147" t="s">
        <v>209</v>
      </c>
      <c r="B147" s="5">
        <v>45769</v>
      </c>
      <c r="C147" t="s">
        <v>72</v>
      </c>
      <c r="D147" t="s">
        <v>30</v>
      </c>
      <c r="E147" t="s">
        <v>57</v>
      </c>
      <c r="F147" t="s">
        <v>26</v>
      </c>
      <c r="G147" t="s">
        <v>52</v>
      </c>
      <c r="H147" t="s">
        <v>53</v>
      </c>
      <c r="I147">
        <v>7</v>
      </c>
      <c r="J147" s="6">
        <v>60728</v>
      </c>
      <c r="K147" s="3">
        <v>0.1</v>
      </c>
      <c r="L147" s="6">
        <v>382586.4</v>
      </c>
      <c r="M147" s="6">
        <v>267838</v>
      </c>
      <c r="N147" s="6">
        <v>114748.4</v>
      </c>
      <c r="O147" t="s">
        <v>43</v>
      </c>
    </row>
    <row r="148" spans="1:15" x14ac:dyDescent="0.25">
      <c r="A148" t="s">
        <v>210</v>
      </c>
      <c r="B148" s="5">
        <v>45769</v>
      </c>
      <c r="C148" t="s">
        <v>24</v>
      </c>
      <c r="D148" t="s">
        <v>30</v>
      </c>
      <c r="E148" t="s">
        <v>49</v>
      </c>
      <c r="F148" t="s">
        <v>32</v>
      </c>
      <c r="G148" t="s">
        <v>86</v>
      </c>
      <c r="H148" t="s">
        <v>42</v>
      </c>
      <c r="I148">
        <v>3</v>
      </c>
      <c r="J148" s="6">
        <v>13136</v>
      </c>
      <c r="K148" s="3">
        <v>0.05</v>
      </c>
      <c r="L148" s="6">
        <v>37437.599999999999</v>
      </c>
      <c r="M148" s="6">
        <v>24977.62</v>
      </c>
      <c r="N148" s="6">
        <v>12459.98</v>
      </c>
      <c r="O148" t="s">
        <v>74</v>
      </c>
    </row>
    <row r="149" spans="1:15" x14ac:dyDescent="0.25">
      <c r="A149" t="s">
        <v>211</v>
      </c>
      <c r="B149" s="5">
        <v>45770</v>
      </c>
      <c r="C149" t="s">
        <v>35</v>
      </c>
      <c r="D149" t="s">
        <v>17</v>
      </c>
      <c r="E149" t="s">
        <v>40</v>
      </c>
      <c r="F149" t="s">
        <v>26</v>
      </c>
      <c r="G149" t="s">
        <v>77</v>
      </c>
      <c r="H149" t="s">
        <v>53</v>
      </c>
      <c r="I149">
        <v>5</v>
      </c>
      <c r="J149" s="6">
        <v>17022</v>
      </c>
      <c r="K149" s="3">
        <v>0.2</v>
      </c>
      <c r="L149" s="6">
        <v>68088</v>
      </c>
      <c r="M149" s="6">
        <v>48820.51</v>
      </c>
      <c r="N149" s="6">
        <v>19267.490000000002</v>
      </c>
      <c r="O149" t="s">
        <v>58</v>
      </c>
    </row>
    <row r="150" spans="1:15" x14ac:dyDescent="0.25">
      <c r="A150" t="s">
        <v>212</v>
      </c>
      <c r="B150" s="5">
        <v>45770</v>
      </c>
      <c r="C150" t="s">
        <v>69</v>
      </c>
      <c r="D150" t="s">
        <v>39</v>
      </c>
      <c r="E150" t="s">
        <v>25</v>
      </c>
      <c r="F150" t="s">
        <v>32</v>
      </c>
      <c r="G150" t="s">
        <v>41</v>
      </c>
      <c r="H150" t="s">
        <v>42</v>
      </c>
      <c r="I150">
        <v>7</v>
      </c>
      <c r="J150" s="6">
        <v>8554</v>
      </c>
      <c r="K150" s="3">
        <v>0</v>
      </c>
      <c r="L150" s="6">
        <v>59878</v>
      </c>
      <c r="M150" s="6">
        <v>40429.15</v>
      </c>
      <c r="N150" s="6">
        <v>19448.849999999999</v>
      </c>
      <c r="O150" t="s">
        <v>22</v>
      </c>
    </row>
    <row r="151" spans="1:15" x14ac:dyDescent="0.25">
      <c r="A151" t="s">
        <v>213</v>
      </c>
      <c r="B151" s="5">
        <v>45771</v>
      </c>
      <c r="C151" t="s">
        <v>60</v>
      </c>
      <c r="D151" t="s">
        <v>39</v>
      </c>
      <c r="E151" t="s">
        <v>31</v>
      </c>
      <c r="F151" t="s">
        <v>32</v>
      </c>
      <c r="G151" t="s">
        <v>107</v>
      </c>
      <c r="H151" t="s">
        <v>108</v>
      </c>
      <c r="I151">
        <v>4</v>
      </c>
      <c r="J151" s="6">
        <v>14222</v>
      </c>
      <c r="K151" s="3">
        <v>0</v>
      </c>
      <c r="L151" s="6">
        <v>56888</v>
      </c>
      <c r="M151" s="6">
        <v>36604.21</v>
      </c>
      <c r="N151" s="6">
        <v>20283.79</v>
      </c>
      <c r="O151" t="s">
        <v>58</v>
      </c>
    </row>
    <row r="152" spans="1:15" x14ac:dyDescent="0.25">
      <c r="A152" t="s">
        <v>214</v>
      </c>
      <c r="B152" s="5">
        <v>45772</v>
      </c>
      <c r="C152" t="s">
        <v>35</v>
      </c>
      <c r="D152" t="s">
        <v>17</v>
      </c>
      <c r="E152" t="s">
        <v>36</v>
      </c>
      <c r="F152" t="s">
        <v>32</v>
      </c>
      <c r="G152" t="s">
        <v>86</v>
      </c>
      <c r="H152" t="s">
        <v>42</v>
      </c>
      <c r="I152">
        <v>7</v>
      </c>
      <c r="J152" s="6">
        <v>11083</v>
      </c>
      <c r="K152" s="3">
        <v>0.1</v>
      </c>
      <c r="L152" s="6">
        <v>69822.899999999994</v>
      </c>
      <c r="M152" s="6">
        <v>51554.95</v>
      </c>
      <c r="N152" s="6">
        <v>18267.95</v>
      </c>
      <c r="O152" t="s">
        <v>22</v>
      </c>
    </row>
    <row r="153" spans="1:15" x14ac:dyDescent="0.25">
      <c r="A153" t="s">
        <v>215</v>
      </c>
      <c r="B153" s="5">
        <v>45772</v>
      </c>
      <c r="C153" t="s">
        <v>29</v>
      </c>
      <c r="D153" t="s">
        <v>48</v>
      </c>
      <c r="E153" t="s">
        <v>31</v>
      </c>
      <c r="F153" t="s">
        <v>19</v>
      </c>
      <c r="G153" t="s">
        <v>77</v>
      </c>
      <c r="H153" t="s">
        <v>53</v>
      </c>
      <c r="I153">
        <v>7</v>
      </c>
      <c r="J153" s="6">
        <v>16349</v>
      </c>
      <c r="K153" s="3">
        <v>0.1</v>
      </c>
      <c r="L153" s="6">
        <v>102998.7</v>
      </c>
      <c r="M153" s="6">
        <v>75333.7</v>
      </c>
      <c r="N153" s="6">
        <v>27665</v>
      </c>
      <c r="O153" t="s">
        <v>43</v>
      </c>
    </row>
    <row r="154" spans="1:15" x14ac:dyDescent="0.25">
      <c r="A154" t="s">
        <v>216</v>
      </c>
      <c r="B154" s="5">
        <v>45773</v>
      </c>
      <c r="C154" t="s">
        <v>35</v>
      </c>
      <c r="D154" t="s">
        <v>48</v>
      </c>
      <c r="E154" t="s">
        <v>25</v>
      </c>
      <c r="F154" t="s">
        <v>32</v>
      </c>
      <c r="G154" t="s">
        <v>77</v>
      </c>
      <c r="H154" t="s">
        <v>53</v>
      </c>
      <c r="I154">
        <v>2</v>
      </c>
      <c r="J154" s="6">
        <v>17041</v>
      </c>
      <c r="K154" s="3">
        <v>0</v>
      </c>
      <c r="L154" s="6">
        <v>34082</v>
      </c>
      <c r="M154" s="6">
        <v>26709.67</v>
      </c>
      <c r="N154" s="6">
        <v>7372.33</v>
      </c>
      <c r="O154" t="s">
        <v>27</v>
      </c>
    </row>
    <row r="155" spans="1:15" x14ac:dyDescent="0.25">
      <c r="A155" t="s">
        <v>217</v>
      </c>
      <c r="B155" s="5">
        <v>45774</v>
      </c>
      <c r="C155" t="s">
        <v>91</v>
      </c>
      <c r="D155" t="s">
        <v>17</v>
      </c>
      <c r="E155" t="s">
        <v>25</v>
      </c>
      <c r="F155" t="s">
        <v>26</v>
      </c>
      <c r="G155" t="s">
        <v>33</v>
      </c>
      <c r="H155" t="s">
        <v>21</v>
      </c>
      <c r="I155">
        <v>1</v>
      </c>
      <c r="J155" s="6">
        <v>4392</v>
      </c>
      <c r="K155" s="3">
        <v>0.05</v>
      </c>
      <c r="L155" s="6">
        <v>4172.3999999999996</v>
      </c>
      <c r="M155" s="6">
        <v>3036</v>
      </c>
      <c r="N155" s="6">
        <v>1136.4000000000001</v>
      </c>
      <c r="O155" t="s">
        <v>27</v>
      </c>
    </row>
    <row r="156" spans="1:15" x14ac:dyDescent="0.25">
      <c r="A156" t="s">
        <v>218</v>
      </c>
      <c r="B156" s="5">
        <v>45775</v>
      </c>
      <c r="C156" t="s">
        <v>35</v>
      </c>
      <c r="D156" t="s">
        <v>39</v>
      </c>
      <c r="E156" t="s">
        <v>49</v>
      </c>
      <c r="F156" t="s">
        <v>32</v>
      </c>
      <c r="G156" t="s">
        <v>64</v>
      </c>
      <c r="H156" t="s">
        <v>53</v>
      </c>
      <c r="I156">
        <v>5</v>
      </c>
      <c r="J156" s="6">
        <v>29916</v>
      </c>
      <c r="K156" s="3">
        <v>0.1</v>
      </c>
      <c r="L156" s="6">
        <v>134622</v>
      </c>
      <c r="M156" s="6">
        <v>87267.4</v>
      </c>
      <c r="N156" s="6">
        <v>47354.6</v>
      </c>
      <c r="O156" t="s">
        <v>58</v>
      </c>
    </row>
    <row r="157" spans="1:15" x14ac:dyDescent="0.25">
      <c r="A157" t="s">
        <v>219</v>
      </c>
      <c r="B157" s="5">
        <v>45775</v>
      </c>
      <c r="C157" t="s">
        <v>29</v>
      </c>
      <c r="D157" t="s">
        <v>39</v>
      </c>
      <c r="E157" t="s">
        <v>49</v>
      </c>
      <c r="F157" t="s">
        <v>19</v>
      </c>
      <c r="G157" t="s">
        <v>41</v>
      </c>
      <c r="H157" t="s">
        <v>42</v>
      </c>
      <c r="I157">
        <v>3</v>
      </c>
      <c r="J157" s="6">
        <v>9226</v>
      </c>
      <c r="K157" s="3">
        <v>0</v>
      </c>
      <c r="L157" s="6">
        <v>27678</v>
      </c>
      <c r="M157" s="6">
        <v>18637.310000000001</v>
      </c>
      <c r="N157" s="6">
        <v>9040.69</v>
      </c>
      <c r="O157" t="s">
        <v>43</v>
      </c>
    </row>
    <row r="158" spans="1:15" x14ac:dyDescent="0.25">
      <c r="A158" t="s">
        <v>220</v>
      </c>
      <c r="B158" s="5">
        <v>45776</v>
      </c>
      <c r="C158" t="s">
        <v>29</v>
      </c>
      <c r="D158" t="s">
        <v>39</v>
      </c>
      <c r="E158" t="s">
        <v>46</v>
      </c>
      <c r="F158" t="s">
        <v>26</v>
      </c>
      <c r="G158" t="s">
        <v>77</v>
      </c>
      <c r="H158" t="s">
        <v>53</v>
      </c>
      <c r="I158">
        <v>2</v>
      </c>
      <c r="J158" s="6">
        <v>19075</v>
      </c>
      <c r="K158" s="3">
        <v>0.05</v>
      </c>
      <c r="L158" s="6">
        <v>36242.5</v>
      </c>
      <c r="M158" s="6">
        <v>29559.15</v>
      </c>
      <c r="N158" s="6">
        <v>6683.35</v>
      </c>
      <c r="O158" t="s">
        <v>43</v>
      </c>
    </row>
    <row r="159" spans="1:15" x14ac:dyDescent="0.25">
      <c r="A159" t="s">
        <v>221</v>
      </c>
      <c r="B159" s="5">
        <v>45776</v>
      </c>
      <c r="C159" t="s">
        <v>45</v>
      </c>
      <c r="D159" t="s">
        <v>30</v>
      </c>
      <c r="E159" t="s">
        <v>46</v>
      </c>
      <c r="F159" t="s">
        <v>32</v>
      </c>
      <c r="G159" t="s">
        <v>62</v>
      </c>
      <c r="H159" t="s">
        <v>21</v>
      </c>
      <c r="I159">
        <v>7</v>
      </c>
      <c r="J159" s="6">
        <v>3180</v>
      </c>
      <c r="K159" s="3">
        <v>0</v>
      </c>
      <c r="L159" s="6">
        <v>22260</v>
      </c>
      <c r="M159" s="6">
        <v>13458.16</v>
      </c>
      <c r="N159" s="6">
        <v>8801.84</v>
      </c>
      <c r="O159" t="s">
        <v>58</v>
      </c>
    </row>
    <row r="160" spans="1:15" x14ac:dyDescent="0.25">
      <c r="A160" t="s">
        <v>222</v>
      </c>
      <c r="B160" s="5">
        <v>45777</v>
      </c>
      <c r="C160" t="s">
        <v>72</v>
      </c>
      <c r="D160" t="s">
        <v>30</v>
      </c>
      <c r="E160" t="s">
        <v>57</v>
      </c>
      <c r="F160" t="s">
        <v>19</v>
      </c>
      <c r="G160" t="s">
        <v>41</v>
      </c>
      <c r="H160" t="s">
        <v>42</v>
      </c>
      <c r="I160">
        <v>4</v>
      </c>
      <c r="J160" s="6">
        <v>10192</v>
      </c>
      <c r="K160" s="3">
        <v>0.1</v>
      </c>
      <c r="L160" s="6">
        <v>36691.199999999997</v>
      </c>
      <c r="M160" s="6">
        <v>26372.87</v>
      </c>
      <c r="N160" s="6">
        <v>10318.33</v>
      </c>
      <c r="O160" t="s">
        <v>74</v>
      </c>
    </row>
    <row r="161" spans="1:15" x14ac:dyDescent="0.25">
      <c r="A161" t="s">
        <v>223</v>
      </c>
      <c r="B161" s="5">
        <v>45777</v>
      </c>
      <c r="C161" t="s">
        <v>69</v>
      </c>
      <c r="D161" t="s">
        <v>39</v>
      </c>
      <c r="E161" t="s">
        <v>31</v>
      </c>
      <c r="F161" t="s">
        <v>26</v>
      </c>
      <c r="G161" t="s">
        <v>64</v>
      </c>
      <c r="H161" t="s">
        <v>53</v>
      </c>
      <c r="I161">
        <v>2</v>
      </c>
      <c r="J161" s="6">
        <v>25979</v>
      </c>
      <c r="K161" s="3">
        <v>0.05</v>
      </c>
      <c r="L161" s="6">
        <v>49360.1</v>
      </c>
      <c r="M161" s="6">
        <v>39123.43</v>
      </c>
      <c r="N161" s="6">
        <v>10236.67</v>
      </c>
      <c r="O161" t="s">
        <v>74</v>
      </c>
    </row>
    <row r="162" spans="1:15" x14ac:dyDescent="0.25">
      <c r="A162" t="s">
        <v>224</v>
      </c>
      <c r="B162" s="5">
        <v>45779</v>
      </c>
      <c r="C162" t="s">
        <v>79</v>
      </c>
      <c r="D162" t="s">
        <v>48</v>
      </c>
      <c r="E162" t="s">
        <v>31</v>
      </c>
      <c r="F162" t="s">
        <v>26</v>
      </c>
      <c r="G162" t="s">
        <v>77</v>
      </c>
      <c r="H162" t="s">
        <v>53</v>
      </c>
      <c r="I162">
        <v>8</v>
      </c>
      <c r="J162" s="6">
        <v>19160</v>
      </c>
      <c r="K162" s="3">
        <v>0.15</v>
      </c>
      <c r="L162" s="6">
        <v>130288</v>
      </c>
      <c r="M162" s="6">
        <v>104446.65</v>
      </c>
      <c r="N162" s="6">
        <v>25841.35</v>
      </c>
      <c r="O162" t="s">
        <v>27</v>
      </c>
    </row>
    <row r="163" spans="1:15" x14ac:dyDescent="0.25">
      <c r="A163" t="s">
        <v>225</v>
      </c>
      <c r="B163" s="5">
        <v>45779</v>
      </c>
      <c r="C163" t="s">
        <v>35</v>
      </c>
      <c r="D163" t="s">
        <v>30</v>
      </c>
      <c r="E163" t="s">
        <v>46</v>
      </c>
      <c r="F163" t="s">
        <v>19</v>
      </c>
      <c r="G163" t="s">
        <v>64</v>
      </c>
      <c r="H163" t="s">
        <v>53</v>
      </c>
      <c r="I163">
        <v>7</v>
      </c>
      <c r="J163" s="6">
        <v>29940</v>
      </c>
      <c r="K163" s="3">
        <v>0.15</v>
      </c>
      <c r="L163" s="6">
        <v>178143</v>
      </c>
      <c r="M163" s="6">
        <v>116771.49</v>
      </c>
      <c r="N163" s="6">
        <v>61371.51</v>
      </c>
      <c r="O163" t="s">
        <v>43</v>
      </c>
    </row>
    <row r="164" spans="1:15" x14ac:dyDescent="0.25">
      <c r="A164" t="s">
        <v>226</v>
      </c>
      <c r="B164" s="5">
        <v>45782</v>
      </c>
      <c r="C164" t="s">
        <v>38</v>
      </c>
      <c r="D164" t="s">
        <v>30</v>
      </c>
      <c r="E164" t="s">
        <v>49</v>
      </c>
      <c r="F164" t="s">
        <v>26</v>
      </c>
      <c r="G164" t="s">
        <v>64</v>
      </c>
      <c r="H164" t="s">
        <v>53</v>
      </c>
      <c r="I164">
        <v>6</v>
      </c>
      <c r="J164" s="6">
        <v>26827</v>
      </c>
      <c r="K164" s="3">
        <v>0.15</v>
      </c>
      <c r="L164" s="6">
        <v>136817.70000000001</v>
      </c>
      <c r="M164" s="6">
        <v>85459.88</v>
      </c>
      <c r="N164" s="6">
        <v>51357.82</v>
      </c>
      <c r="O164" t="s">
        <v>74</v>
      </c>
    </row>
    <row r="165" spans="1:15" x14ac:dyDescent="0.25">
      <c r="A165" t="s">
        <v>227</v>
      </c>
      <c r="B165" s="5">
        <v>45782</v>
      </c>
      <c r="C165" t="s">
        <v>72</v>
      </c>
      <c r="D165" t="s">
        <v>30</v>
      </c>
      <c r="E165" t="s">
        <v>31</v>
      </c>
      <c r="F165" t="s">
        <v>26</v>
      </c>
      <c r="G165" t="s">
        <v>33</v>
      </c>
      <c r="H165" t="s">
        <v>21</v>
      </c>
      <c r="I165">
        <v>8</v>
      </c>
      <c r="J165" s="6">
        <v>4742</v>
      </c>
      <c r="K165" s="3">
        <v>0.1</v>
      </c>
      <c r="L165" s="6">
        <v>34142.400000000001</v>
      </c>
      <c r="M165" s="6">
        <v>22405.67</v>
      </c>
      <c r="N165" s="6">
        <v>11736.73</v>
      </c>
      <c r="O165" t="s">
        <v>43</v>
      </c>
    </row>
    <row r="166" spans="1:15" x14ac:dyDescent="0.25">
      <c r="A166" t="s">
        <v>228</v>
      </c>
      <c r="B166" s="5">
        <v>45783</v>
      </c>
      <c r="C166" t="s">
        <v>72</v>
      </c>
      <c r="D166" t="s">
        <v>30</v>
      </c>
      <c r="E166" t="s">
        <v>18</v>
      </c>
      <c r="F166" t="s">
        <v>19</v>
      </c>
      <c r="G166" t="s">
        <v>33</v>
      </c>
      <c r="H166" t="s">
        <v>21</v>
      </c>
      <c r="I166">
        <v>3</v>
      </c>
      <c r="J166" s="6">
        <v>4267</v>
      </c>
      <c r="K166" s="3">
        <v>0.05</v>
      </c>
      <c r="L166" s="6">
        <v>12160.95</v>
      </c>
      <c r="M166" s="6">
        <v>7578.41</v>
      </c>
      <c r="N166" s="6">
        <v>4582.54</v>
      </c>
      <c r="O166" t="s">
        <v>43</v>
      </c>
    </row>
    <row r="167" spans="1:15" x14ac:dyDescent="0.25">
      <c r="A167" t="s">
        <v>229</v>
      </c>
      <c r="B167" s="5">
        <v>45784</v>
      </c>
      <c r="C167" t="s">
        <v>29</v>
      </c>
      <c r="D167" t="s">
        <v>17</v>
      </c>
      <c r="E167" t="s">
        <v>25</v>
      </c>
      <c r="F167" t="s">
        <v>32</v>
      </c>
      <c r="G167" t="s">
        <v>33</v>
      </c>
      <c r="H167" t="s">
        <v>21</v>
      </c>
      <c r="I167">
        <v>2</v>
      </c>
      <c r="J167" s="6">
        <v>4340</v>
      </c>
      <c r="K167" s="3">
        <v>0.15</v>
      </c>
      <c r="L167" s="6">
        <v>7378</v>
      </c>
      <c r="M167" s="6">
        <v>4648.5600000000004</v>
      </c>
      <c r="N167" s="6">
        <v>2729.44</v>
      </c>
      <c r="O167" t="s">
        <v>27</v>
      </c>
    </row>
    <row r="168" spans="1:15" x14ac:dyDescent="0.25">
      <c r="A168" t="s">
        <v>230</v>
      </c>
      <c r="B168" s="5">
        <v>45785</v>
      </c>
      <c r="C168" t="s">
        <v>91</v>
      </c>
      <c r="D168" t="s">
        <v>17</v>
      </c>
      <c r="E168" t="s">
        <v>57</v>
      </c>
      <c r="F168" t="s">
        <v>32</v>
      </c>
      <c r="G168" t="s">
        <v>62</v>
      </c>
      <c r="H168" t="s">
        <v>21</v>
      </c>
      <c r="I168">
        <v>8</v>
      </c>
      <c r="J168" s="6">
        <v>3301</v>
      </c>
      <c r="K168" s="3">
        <v>0.05</v>
      </c>
      <c r="L168" s="6">
        <v>25087.599999999999</v>
      </c>
      <c r="M168" s="6">
        <v>18123.09</v>
      </c>
      <c r="N168" s="6">
        <v>6964.51</v>
      </c>
      <c r="O168" t="s">
        <v>27</v>
      </c>
    </row>
    <row r="169" spans="1:15" x14ac:dyDescent="0.25">
      <c r="A169" t="s">
        <v>231</v>
      </c>
      <c r="B169" s="5">
        <v>45786</v>
      </c>
      <c r="C169" t="s">
        <v>91</v>
      </c>
      <c r="D169" t="s">
        <v>17</v>
      </c>
      <c r="E169" t="s">
        <v>46</v>
      </c>
      <c r="F169" t="s">
        <v>26</v>
      </c>
      <c r="G169" t="s">
        <v>77</v>
      </c>
      <c r="H169" t="s">
        <v>53</v>
      </c>
      <c r="I169">
        <v>4</v>
      </c>
      <c r="J169" s="6">
        <v>16475</v>
      </c>
      <c r="K169" s="3">
        <v>0.05</v>
      </c>
      <c r="L169" s="6">
        <v>62605</v>
      </c>
      <c r="M169" s="6">
        <v>50376.38</v>
      </c>
      <c r="N169" s="6">
        <v>12228.62</v>
      </c>
      <c r="O169" t="s">
        <v>27</v>
      </c>
    </row>
    <row r="170" spans="1:15" x14ac:dyDescent="0.25">
      <c r="A170" t="s">
        <v>232</v>
      </c>
      <c r="B170" s="5">
        <v>45786</v>
      </c>
      <c r="C170" t="s">
        <v>91</v>
      </c>
      <c r="D170" t="s">
        <v>17</v>
      </c>
      <c r="E170" t="s">
        <v>18</v>
      </c>
      <c r="F170" t="s">
        <v>26</v>
      </c>
      <c r="G170" t="s">
        <v>41</v>
      </c>
      <c r="H170" t="s">
        <v>42</v>
      </c>
      <c r="I170">
        <v>1</v>
      </c>
      <c r="J170" s="6">
        <v>8563</v>
      </c>
      <c r="K170" s="3">
        <v>0</v>
      </c>
      <c r="L170" s="6">
        <v>8563</v>
      </c>
      <c r="M170" s="6">
        <v>5562.09</v>
      </c>
      <c r="N170" s="6">
        <v>3000.91</v>
      </c>
      <c r="O170" t="s">
        <v>43</v>
      </c>
    </row>
    <row r="171" spans="1:15" x14ac:dyDescent="0.25">
      <c r="A171" t="s">
        <v>233</v>
      </c>
      <c r="B171" s="5">
        <v>45788</v>
      </c>
      <c r="C171" t="s">
        <v>96</v>
      </c>
      <c r="D171" t="s">
        <v>48</v>
      </c>
      <c r="E171" t="s">
        <v>36</v>
      </c>
      <c r="F171" t="s">
        <v>32</v>
      </c>
      <c r="G171" t="s">
        <v>33</v>
      </c>
      <c r="H171" t="s">
        <v>21</v>
      </c>
      <c r="I171">
        <v>3</v>
      </c>
      <c r="J171" s="6">
        <v>4662</v>
      </c>
      <c r="K171" s="3">
        <v>0</v>
      </c>
      <c r="L171" s="6">
        <v>13986</v>
      </c>
      <c r="M171" s="6">
        <v>8485.92</v>
      </c>
      <c r="N171" s="6">
        <v>5500.08</v>
      </c>
      <c r="O171" t="s">
        <v>22</v>
      </c>
    </row>
    <row r="172" spans="1:15" x14ac:dyDescent="0.25">
      <c r="A172" t="s">
        <v>234</v>
      </c>
      <c r="B172" s="5">
        <v>45788</v>
      </c>
      <c r="C172" t="s">
        <v>51</v>
      </c>
      <c r="D172" t="s">
        <v>17</v>
      </c>
      <c r="E172" t="s">
        <v>57</v>
      </c>
      <c r="F172" t="s">
        <v>32</v>
      </c>
      <c r="G172" t="s">
        <v>107</v>
      </c>
      <c r="H172" t="s">
        <v>108</v>
      </c>
      <c r="I172">
        <v>2</v>
      </c>
      <c r="J172" s="6">
        <v>16209</v>
      </c>
      <c r="K172" s="3">
        <v>0.1</v>
      </c>
      <c r="L172" s="6">
        <v>29176.2</v>
      </c>
      <c r="M172" s="6">
        <v>21206.87</v>
      </c>
      <c r="N172" s="6">
        <v>7969.33</v>
      </c>
      <c r="O172" t="s">
        <v>58</v>
      </c>
    </row>
    <row r="173" spans="1:15" x14ac:dyDescent="0.25">
      <c r="A173" t="s">
        <v>235</v>
      </c>
      <c r="B173" s="5">
        <v>45789</v>
      </c>
      <c r="C173" t="s">
        <v>35</v>
      </c>
      <c r="D173" t="s">
        <v>48</v>
      </c>
      <c r="E173" t="s">
        <v>36</v>
      </c>
      <c r="F173" t="s">
        <v>26</v>
      </c>
      <c r="G173" t="s">
        <v>41</v>
      </c>
      <c r="H173" t="s">
        <v>42</v>
      </c>
      <c r="I173">
        <v>3</v>
      </c>
      <c r="J173" s="6">
        <v>9899</v>
      </c>
      <c r="K173" s="3">
        <v>0.15</v>
      </c>
      <c r="L173" s="6">
        <v>25242.45</v>
      </c>
      <c r="M173" s="6">
        <v>18495.75</v>
      </c>
      <c r="N173" s="6">
        <v>6746.7</v>
      </c>
      <c r="O173" t="s">
        <v>43</v>
      </c>
    </row>
    <row r="174" spans="1:15" x14ac:dyDescent="0.25">
      <c r="A174" t="s">
        <v>236</v>
      </c>
      <c r="B174" s="5">
        <v>45791</v>
      </c>
      <c r="C174" t="s">
        <v>91</v>
      </c>
      <c r="D174" t="s">
        <v>39</v>
      </c>
      <c r="E174" t="s">
        <v>46</v>
      </c>
      <c r="F174" t="s">
        <v>19</v>
      </c>
      <c r="G174" t="s">
        <v>20</v>
      </c>
      <c r="H174" t="s">
        <v>21</v>
      </c>
      <c r="I174">
        <v>4</v>
      </c>
      <c r="J174" s="6">
        <v>2407</v>
      </c>
      <c r="K174" s="3">
        <v>0.1</v>
      </c>
      <c r="L174" s="6">
        <v>8665.2000000000007</v>
      </c>
      <c r="M174" s="6">
        <v>6765.44</v>
      </c>
      <c r="N174" s="6">
        <v>1899.76</v>
      </c>
      <c r="O174" t="s">
        <v>58</v>
      </c>
    </row>
    <row r="175" spans="1:15" x14ac:dyDescent="0.25">
      <c r="A175" t="s">
        <v>237</v>
      </c>
      <c r="B175" s="5">
        <v>45791</v>
      </c>
      <c r="C175" t="s">
        <v>29</v>
      </c>
      <c r="D175" t="s">
        <v>39</v>
      </c>
      <c r="E175" t="s">
        <v>49</v>
      </c>
      <c r="F175" t="s">
        <v>32</v>
      </c>
      <c r="G175" t="s">
        <v>33</v>
      </c>
      <c r="H175" t="s">
        <v>21</v>
      </c>
      <c r="I175">
        <v>4</v>
      </c>
      <c r="J175" s="6">
        <v>4930</v>
      </c>
      <c r="K175" s="3">
        <v>0.1</v>
      </c>
      <c r="L175" s="6">
        <v>17748</v>
      </c>
      <c r="M175" s="6">
        <v>11908.75</v>
      </c>
      <c r="N175" s="6">
        <v>5839.25</v>
      </c>
      <c r="O175" t="s">
        <v>43</v>
      </c>
    </row>
    <row r="176" spans="1:15" x14ac:dyDescent="0.25">
      <c r="A176" t="s">
        <v>238</v>
      </c>
      <c r="B176" s="5">
        <v>45791</v>
      </c>
      <c r="C176" t="s">
        <v>16</v>
      </c>
      <c r="D176" t="s">
        <v>48</v>
      </c>
      <c r="E176" t="s">
        <v>57</v>
      </c>
      <c r="F176" t="s">
        <v>32</v>
      </c>
      <c r="G176" t="s">
        <v>82</v>
      </c>
      <c r="H176" t="s">
        <v>21</v>
      </c>
      <c r="I176">
        <v>6</v>
      </c>
      <c r="J176" s="6">
        <v>1291</v>
      </c>
      <c r="K176" s="3">
        <v>0.05</v>
      </c>
      <c r="L176" s="6">
        <v>7358.7</v>
      </c>
      <c r="M176" s="6">
        <v>4612.87</v>
      </c>
      <c r="N176" s="6">
        <v>2745.83</v>
      </c>
      <c r="O176" t="s">
        <v>74</v>
      </c>
    </row>
    <row r="177" spans="1:15" x14ac:dyDescent="0.25">
      <c r="A177" t="s">
        <v>239</v>
      </c>
      <c r="B177" s="5">
        <v>45793</v>
      </c>
      <c r="C177" t="s">
        <v>79</v>
      </c>
      <c r="D177" t="s">
        <v>48</v>
      </c>
      <c r="E177" t="s">
        <v>49</v>
      </c>
      <c r="F177" t="s">
        <v>19</v>
      </c>
      <c r="G177" t="s">
        <v>62</v>
      </c>
      <c r="H177" t="s">
        <v>21</v>
      </c>
      <c r="I177">
        <v>5</v>
      </c>
      <c r="J177" s="6">
        <v>3310</v>
      </c>
      <c r="K177" s="3">
        <v>0.1</v>
      </c>
      <c r="L177" s="6">
        <v>14895</v>
      </c>
      <c r="M177" s="6">
        <v>11296.49</v>
      </c>
      <c r="N177" s="6">
        <v>3598.51</v>
      </c>
      <c r="O177" t="s">
        <v>58</v>
      </c>
    </row>
    <row r="178" spans="1:15" x14ac:dyDescent="0.25">
      <c r="A178" t="s">
        <v>240</v>
      </c>
      <c r="B178" s="5">
        <v>45794</v>
      </c>
      <c r="C178" t="s">
        <v>91</v>
      </c>
      <c r="D178" t="s">
        <v>17</v>
      </c>
      <c r="E178" t="s">
        <v>46</v>
      </c>
      <c r="F178" t="s">
        <v>26</v>
      </c>
      <c r="G178" t="s">
        <v>77</v>
      </c>
      <c r="H178" t="s">
        <v>53</v>
      </c>
      <c r="I178">
        <v>4</v>
      </c>
      <c r="J178" s="6">
        <v>17565</v>
      </c>
      <c r="K178" s="3">
        <v>0.15</v>
      </c>
      <c r="L178" s="6">
        <v>59721</v>
      </c>
      <c r="M178" s="6">
        <v>45313.38</v>
      </c>
      <c r="N178" s="6">
        <v>14407.62</v>
      </c>
      <c r="O178" t="s">
        <v>74</v>
      </c>
    </row>
    <row r="179" spans="1:15" x14ac:dyDescent="0.25">
      <c r="A179" t="s">
        <v>241</v>
      </c>
      <c r="B179" s="5">
        <v>45794</v>
      </c>
      <c r="C179" t="s">
        <v>67</v>
      </c>
      <c r="D179" t="s">
        <v>17</v>
      </c>
      <c r="E179" t="s">
        <v>31</v>
      </c>
      <c r="F179" t="s">
        <v>19</v>
      </c>
      <c r="G179" t="s">
        <v>82</v>
      </c>
      <c r="H179" t="s">
        <v>21</v>
      </c>
      <c r="I179">
        <v>3</v>
      </c>
      <c r="J179" s="6">
        <v>1309</v>
      </c>
      <c r="K179" s="3">
        <v>0.05</v>
      </c>
      <c r="L179" s="6">
        <v>3730.65</v>
      </c>
      <c r="M179" s="6">
        <v>2927.65</v>
      </c>
      <c r="N179" s="6">
        <v>803</v>
      </c>
      <c r="O179" t="s">
        <v>74</v>
      </c>
    </row>
    <row r="180" spans="1:15" x14ac:dyDescent="0.25">
      <c r="A180" t="s">
        <v>242</v>
      </c>
      <c r="B180" s="5">
        <v>45794</v>
      </c>
      <c r="C180" t="s">
        <v>67</v>
      </c>
      <c r="D180" t="s">
        <v>39</v>
      </c>
      <c r="E180" t="s">
        <v>46</v>
      </c>
      <c r="F180" t="s">
        <v>19</v>
      </c>
      <c r="G180" t="s">
        <v>52</v>
      </c>
      <c r="H180" t="s">
        <v>53</v>
      </c>
      <c r="I180">
        <v>6</v>
      </c>
      <c r="J180" s="6">
        <v>69829</v>
      </c>
      <c r="K180" s="3">
        <v>0.1</v>
      </c>
      <c r="L180" s="6">
        <v>377076.6</v>
      </c>
      <c r="M180" s="6">
        <v>260412.96</v>
      </c>
      <c r="N180" s="6">
        <v>116663.64</v>
      </c>
      <c r="O180" t="s">
        <v>27</v>
      </c>
    </row>
    <row r="181" spans="1:15" x14ac:dyDescent="0.25">
      <c r="A181" t="s">
        <v>243</v>
      </c>
      <c r="B181" s="5">
        <v>45795</v>
      </c>
      <c r="C181" t="s">
        <v>45</v>
      </c>
      <c r="D181" t="s">
        <v>48</v>
      </c>
      <c r="E181" t="s">
        <v>46</v>
      </c>
      <c r="F181" t="s">
        <v>19</v>
      </c>
      <c r="G181" t="s">
        <v>86</v>
      </c>
      <c r="H181" t="s">
        <v>42</v>
      </c>
      <c r="I181">
        <v>6</v>
      </c>
      <c r="J181" s="6">
        <v>12316</v>
      </c>
      <c r="K181" s="3">
        <v>0</v>
      </c>
      <c r="L181" s="6">
        <v>73896</v>
      </c>
      <c r="M181" s="6">
        <v>46642.44</v>
      </c>
      <c r="N181" s="6">
        <v>27253.56</v>
      </c>
      <c r="O181" t="s">
        <v>58</v>
      </c>
    </row>
    <row r="182" spans="1:15" x14ac:dyDescent="0.25">
      <c r="A182" t="s">
        <v>244</v>
      </c>
      <c r="B182" s="5">
        <v>45796</v>
      </c>
      <c r="C182" t="s">
        <v>24</v>
      </c>
      <c r="D182" t="s">
        <v>30</v>
      </c>
      <c r="E182" t="s">
        <v>57</v>
      </c>
      <c r="F182" t="s">
        <v>26</v>
      </c>
      <c r="G182" t="s">
        <v>62</v>
      </c>
      <c r="H182" t="s">
        <v>21</v>
      </c>
      <c r="I182">
        <v>1</v>
      </c>
      <c r="J182" s="6">
        <v>3793</v>
      </c>
      <c r="K182" s="3">
        <v>0</v>
      </c>
      <c r="L182" s="6">
        <v>3793</v>
      </c>
      <c r="M182" s="6">
        <v>2454.34</v>
      </c>
      <c r="N182" s="6">
        <v>1338.66</v>
      </c>
      <c r="O182" t="s">
        <v>22</v>
      </c>
    </row>
    <row r="183" spans="1:15" x14ac:dyDescent="0.25">
      <c r="A183" t="s">
        <v>245</v>
      </c>
      <c r="B183" s="5">
        <v>45796</v>
      </c>
      <c r="C183" t="s">
        <v>24</v>
      </c>
      <c r="D183" t="s">
        <v>17</v>
      </c>
      <c r="E183" t="s">
        <v>31</v>
      </c>
      <c r="F183" t="s">
        <v>19</v>
      </c>
      <c r="G183" t="s">
        <v>62</v>
      </c>
      <c r="H183" t="s">
        <v>21</v>
      </c>
      <c r="I183">
        <v>6</v>
      </c>
      <c r="J183" s="6">
        <v>3421</v>
      </c>
      <c r="K183" s="3">
        <v>0.15</v>
      </c>
      <c r="L183" s="6">
        <v>17447.099999999999</v>
      </c>
      <c r="M183" s="6">
        <v>13929.6</v>
      </c>
      <c r="N183" s="6">
        <v>3517.5</v>
      </c>
      <c r="O183" t="s">
        <v>43</v>
      </c>
    </row>
    <row r="184" spans="1:15" x14ac:dyDescent="0.25">
      <c r="A184" t="s">
        <v>246</v>
      </c>
      <c r="B184" s="5">
        <v>45796</v>
      </c>
      <c r="C184" t="s">
        <v>16</v>
      </c>
      <c r="D184" t="s">
        <v>48</v>
      </c>
      <c r="E184" t="s">
        <v>46</v>
      </c>
      <c r="F184" t="s">
        <v>32</v>
      </c>
      <c r="G184" t="s">
        <v>33</v>
      </c>
      <c r="H184" t="s">
        <v>21</v>
      </c>
      <c r="I184">
        <v>6</v>
      </c>
      <c r="J184" s="6">
        <v>4288</v>
      </c>
      <c r="K184" s="3">
        <v>0.1</v>
      </c>
      <c r="L184" s="6">
        <v>23155.200000000001</v>
      </c>
      <c r="M184" s="6">
        <v>15403.84</v>
      </c>
      <c r="N184" s="6">
        <v>7751.36</v>
      </c>
      <c r="O184" t="s">
        <v>74</v>
      </c>
    </row>
    <row r="185" spans="1:15" x14ac:dyDescent="0.25">
      <c r="A185" t="s">
        <v>247</v>
      </c>
      <c r="B185" s="5">
        <v>45796</v>
      </c>
      <c r="C185" t="s">
        <v>69</v>
      </c>
      <c r="D185" t="s">
        <v>39</v>
      </c>
      <c r="E185" t="s">
        <v>31</v>
      </c>
      <c r="F185" t="s">
        <v>26</v>
      </c>
      <c r="G185" t="s">
        <v>64</v>
      </c>
      <c r="H185" t="s">
        <v>53</v>
      </c>
      <c r="I185">
        <v>3</v>
      </c>
      <c r="J185" s="6">
        <v>28848</v>
      </c>
      <c r="K185" s="3">
        <v>0.05</v>
      </c>
      <c r="L185" s="6">
        <v>82216.800000000003</v>
      </c>
      <c r="M185" s="6">
        <v>59395.09</v>
      </c>
      <c r="N185" s="6">
        <v>22821.71</v>
      </c>
      <c r="O185" t="s">
        <v>27</v>
      </c>
    </row>
    <row r="186" spans="1:15" x14ac:dyDescent="0.25">
      <c r="A186" t="s">
        <v>248</v>
      </c>
      <c r="B186" s="5">
        <v>45797</v>
      </c>
      <c r="C186" t="s">
        <v>72</v>
      </c>
      <c r="D186" t="s">
        <v>17</v>
      </c>
      <c r="E186" t="s">
        <v>18</v>
      </c>
      <c r="F186" t="s">
        <v>32</v>
      </c>
      <c r="G186" t="s">
        <v>41</v>
      </c>
      <c r="H186" t="s">
        <v>42</v>
      </c>
      <c r="I186">
        <v>2</v>
      </c>
      <c r="J186" s="6">
        <v>9567</v>
      </c>
      <c r="K186" s="3">
        <v>0.05</v>
      </c>
      <c r="L186" s="6">
        <v>18177.3</v>
      </c>
      <c r="M186" s="6">
        <v>12321.18</v>
      </c>
      <c r="N186" s="6">
        <v>5856.12</v>
      </c>
      <c r="O186" t="s">
        <v>22</v>
      </c>
    </row>
    <row r="187" spans="1:15" x14ac:dyDescent="0.25">
      <c r="A187" t="s">
        <v>249</v>
      </c>
      <c r="B187" s="5">
        <v>45798</v>
      </c>
      <c r="C187" t="s">
        <v>60</v>
      </c>
      <c r="D187" t="s">
        <v>30</v>
      </c>
      <c r="E187" t="s">
        <v>25</v>
      </c>
      <c r="F187" t="s">
        <v>32</v>
      </c>
      <c r="G187" t="s">
        <v>52</v>
      </c>
      <c r="H187" t="s">
        <v>53</v>
      </c>
      <c r="I187">
        <v>6</v>
      </c>
      <c r="J187" s="6">
        <v>64567</v>
      </c>
      <c r="K187" s="3">
        <v>0.1</v>
      </c>
      <c r="L187" s="6">
        <v>348661.8</v>
      </c>
      <c r="M187" s="6">
        <v>273699.48</v>
      </c>
      <c r="N187" s="6">
        <v>74962.320000000007</v>
      </c>
      <c r="O187" t="s">
        <v>22</v>
      </c>
    </row>
    <row r="188" spans="1:15" x14ac:dyDescent="0.25">
      <c r="A188" t="s">
        <v>250</v>
      </c>
      <c r="B188" s="5">
        <v>45798</v>
      </c>
      <c r="C188" t="s">
        <v>96</v>
      </c>
      <c r="D188" t="s">
        <v>39</v>
      </c>
      <c r="E188" t="s">
        <v>31</v>
      </c>
      <c r="F188" t="s">
        <v>32</v>
      </c>
      <c r="G188" t="s">
        <v>107</v>
      </c>
      <c r="H188" t="s">
        <v>108</v>
      </c>
      <c r="I188">
        <v>1</v>
      </c>
      <c r="J188" s="6">
        <v>15394</v>
      </c>
      <c r="K188" s="3">
        <v>0.1</v>
      </c>
      <c r="L188" s="6">
        <v>13854.6</v>
      </c>
      <c r="M188" s="6">
        <v>8664.48</v>
      </c>
      <c r="N188" s="6">
        <v>5190.12</v>
      </c>
      <c r="O188" t="s">
        <v>22</v>
      </c>
    </row>
    <row r="189" spans="1:15" x14ac:dyDescent="0.25">
      <c r="A189" t="s">
        <v>251</v>
      </c>
      <c r="B189" s="5">
        <v>45798</v>
      </c>
      <c r="C189" t="s">
        <v>16</v>
      </c>
      <c r="D189" t="s">
        <v>48</v>
      </c>
      <c r="E189" t="s">
        <v>40</v>
      </c>
      <c r="F189" t="s">
        <v>19</v>
      </c>
      <c r="G189" t="s">
        <v>64</v>
      </c>
      <c r="H189" t="s">
        <v>53</v>
      </c>
      <c r="I189">
        <v>6</v>
      </c>
      <c r="J189" s="6">
        <v>29787</v>
      </c>
      <c r="K189" s="3">
        <v>0.15</v>
      </c>
      <c r="L189" s="6">
        <v>151913.70000000001</v>
      </c>
      <c r="M189" s="6">
        <v>98770.880000000005</v>
      </c>
      <c r="N189" s="6">
        <v>53142.82</v>
      </c>
      <c r="O189" t="s">
        <v>74</v>
      </c>
    </row>
    <row r="190" spans="1:15" x14ac:dyDescent="0.25">
      <c r="A190" t="s">
        <v>252</v>
      </c>
      <c r="B190" s="5">
        <v>45800</v>
      </c>
      <c r="C190" t="s">
        <v>24</v>
      </c>
      <c r="D190" t="s">
        <v>30</v>
      </c>
      <c r="E190" t="s">
        <v>46</v>
      </c>
      <c r="F190" t="s">
        <v>19</v>
      </c>
      <c r="G190" t="s">
        <v>82</v>
      </c>
      <c r="H190" t="s">
        <v>21</v>
      </c>
      <c r="I190">
        <v>5</v>
      </c>
      <c r="J190" s="6">
        <v>1098</v>
      </c>
      <c r="K190" s="3">
        <v>0.05</v>
      </c>
      <c r="L190" s="6">
        <v>5215.5</v>
      </c>
      <c r="M190" s="6">
        <v>3314.29</v>
      </c>
      <c r="N190" s="6">
        <v>1901.21</v>
      </c>
      <c r="O190" t="s">
        <v>74</v>
      </c>
    </row>
    <row r="191" spans="1:15" x14ac:dyDescent="0.25">
      <c r="A191" t="s">
        <v>253</v>
      </c>
      <c r="B191" s="5">
        <v>45801</v>
      </c>
      <c r="C191" t="s">
        <v>29</v>
      </c>
      <c r="D191" t="s">
        <v>17</v>
      </c>
      <c r="E191" t="s">
        <v>31</v>
      </c>
      <c r="F191" t="s">
        <v>32</v>
      </c>
      <c r="G191" t="s">
        <v>64</v>
      </c>
      <c r="H191" t="s">
        <v>53</v>
      </c>
      <c r="I191">
        <v>1</v>
      </c>
      <c r="J191" s="6">
        <v>30325</v>
      </c>
      <c r="K191" s="3">
        <v>0.2</v>
      </c>
      <c r="L191" s="6">
        <v>24260</v>
      </c>
      <c r="M191" s="6">
        <v>14864.83</v>
      </c>
      <c r="N191" s="6">
        <v>9395.17</v>
      </c>
      <c r="O191" t="s">
        <v>27</v>
      </c>
    </row>
    <row r="192" spans="1:15" x14ac:dyDescent="0.25">
      <c r="A192" t="s">
        <v>254</v>
      </c>
      <c r="B192" s="5">
        <v>45801</v>
      </c>
      <c r="C192" t="s">
        <v>16</v>
      </c>
      <c r="D192" t="s">
        <v>30</v>
      </c>
      <c r="E192" t="s">
        <v>31</v>
      </c>
      <c r="F192" t="s">
        <v>32</v>
      </c>
      <c r="G192" t="s">
        <v>86</v>
      </c>
      <c r="H192" t="s">
        <v>42</v>
      </c>
      <c r="I192">
        <v>6</v>
      </c>
      <c r="J192" s="6">
        <v>12536</v>
      </c>
      <c r="K192" s="3">
        <v>0.1</v>
      </c>
      <c r="L192" s="6">
        <v>67694.399999999994</v>
      </c>
      <c r="M192" s="6">
        <v>53068.75</v>
      </c>
      <c r="N192" s="6">
        <v>14625.65</v>
      </c>
      <c r="O192" t="s">
        <v>58</v>
      </c>
    </row>
    <row r="193" spans="1:15" x14ac:dyDescent="0.25">
      <c r="A193" t="s">
        <v>255</v>
      </c>
      <c r="B193" s="5">
        <v>45802</v>
      </c>
      <c r="C193" t="s">
        <v>45</v>
      </c>
      <c r="D193" t="s">
        <v>39</v>
      </c>
      <c r="E193" t="s">
        <v>31</v>
      </c>
      <c r="F193" t="s">
        <v>32</v>
      </c>
      <c r="G193" t="s">
        <v>62</v>
      </c>
      <c r="H193" t="s">
        <v>21</v>
      </c>
      <c r="I193">
        <v>8</v>
      </c>
      <c r="J193" s="6">
        <v>3689</v>
      </c>
      <c r="K193" s="3">
        <v>0.15</v>
      </c>
      <c r="L193" s="6">
        <v>25085.200000000001</v>
      </c>
      <c r="M193" s="6">
        <v>19251.02</v>
      </c>
      <c r="N193" s="6">
        <v>5834.18</v>
      </c>
      <c r="O193" t="s">
        <v>43</v>
      </c>
    </row>
    <row r="194" spans="1:15" x14ac:dyDescent="0.25">
      <c r="A194" t="s">
        <v>256</v>
      </c>
      <c r="B194" s="5">
        <v>45803</v>
      </c>
      <c r="C194" t="s">
        <v>45</v>
      </c>
      <c r="D194" t="s">
        <v>48</v>
      </c>
      <c r="E194" t="s">
        <v>49</v>
      </c>
      <c r="F194" t="s">
        <v>32</v>
      </c>
      <c r="G194" t="s">
        <v>107</v>
      </c>
      <c r="H194" t="s">
        <v>108</v>
      </c>
      <c r="I194">
        <v>8</v>
      </c>
      <c r="J194" s="6">
        <v>14148</v>
      </c>
      <c r="K194" s="3">
        <v>0.1</v>
      </c>
      <c r="L194" s="6">
        <v>101865.60000000001</v>
      </c>
      <c r="M194" s="6">
        <v>75690.649999999994</v>
      </c>
      <c r="N194" s="6">
        <v>26174.95</v>
      </c>
      <c r="O194" t="s">
        <v>58</v>
      </c>
    </row>
    <row r="195" spans="1:15" x14ac:dyDescent="0.25">
      <c r="A195" t="s">
        <v>257</v>
      </c>
      <c r="B195" s="5">
        <v>45804</v>
      </c>
      <c r="C195" t="s">
        <v>88</v>
      </c>
      <c r="D195" t="s">
        <v>30</v>
      </c>
      <c r="E195" t="s">
        <v>49</v>
      </c>
      <c r="F195" t="s">
        <v>32</v>
      </c>
      <c r="G195" t="s">
        <v>33</v>
      </c>
      <c r="H195" t="s">
        <v>21</v>
      </c>
      <c r="I195">
        <v>1</v>
      </c>
      <c r="J195" s="6">
        <v>4191</v>
      </c>
      <c r="K195" s="3">
        <v>0.05</v>
      </c>
      <c r="L195" s="6">
        <v>3981.45</v>
      </c>
      <c r="M195" s="6">
        <v>2642.93</v>
      </c>
      <c r="N195" s="6">
        <v>1338.52</v>
      </c>
      <c r="O195" t="s">
        <v>22</v>
      </c>
    </row>
    <row r="196" spans="1:15" x14ac:dyDescent="0.25">
      <c r="A196" t="s">
        <v>258</v>
      </c>
      <c r="B196" s="5">
        <v>45804</v>
      </c>
      <c r="C196" t="s">
        <v>79</v>
      </c>
      <c r="D196" t="s">
        <v>48</v>
      </c>
      <c r="E196" t="s">
        <v>46</v>
      </c>
      <c r="F196" t="s">
        <v>32</v>
      </c>
      <c r="G196" t="s">
        <v>64</v>
      </c>
      <c r="H196" t="s">
        <v>53</v>
      </c>
      <c r="I196">
        <v>6</v>
      </c>
      <c r="J196" s="6">
        <v>26359</v>
      </c>
      <c r="K196" s="3">
        <v>0</v>
      </c>
      <c r="L196" s="6">
        <v>158154</v>
      </c>
      <c r="M196" s="6">
        <v>97293.440000000002</v>
      </c>
      <c r="N196" s="6">
        <v>60860.56</v>
      </c>
      <c r="O196" t="s">
        <v>58</v>
      </c>
    </row>
    <row r="197" spans="1:15" x14ac:dyDescent="0.25">
      <c r="A197" t="s">
        <v>259</v>
      </c>
      <c r="B197" s="5">
        <v>45804</v>
      </c>
      <c r="C197" t="s">
        <v>72</v>
      </c>
      <c r="D197" t="s">
        <v>39</v>
      </c>
      <c r="E197" t="s">
        <v>46</v>
      </c>
      <c r="F197" t="s">
        <v>26</v>
      </c>
      <c r="G197" t="s">
        <v>33</v>
      </c>
      <c r="H197" t="s">
        <v>21</v>
      </c>
      <c r="I197">
        <v>4</v>
      </c>
      <c r="J197" s="6">
        <v>4449</v>
      </c>
      <c r="K197" s="3">
        <v>0.1</v>
      </c>
      <c r="L197" s="6">
        <v>16016.4</v>
      </c>
      <c r="M197" s="6">
        <v>11834.32</v>
      </c>
      <c r="N197" s="6">
        <v>4182.08</v>
      </c>
      <c r="O197" t="s">
        <v>43</v>
      </c>
    </row>
    <row r="198" spans="1:15" x14ac:dyDescent="0.25">
      <c r="A198" t="s">
        <v>260</v>
      </c>
      <c r="B198" s="5">
        <v>45804</v>
      </c>
      <c r="C198" t="s">
        <v>16</v>
      </c>
      <c r="D198" t="s">
        <v>48</v>
      </c>
      <c r="E198" t="s">
        <v>40</v>
      </c>
      <c r="F198" t="s">
        <v>26</v>
      </c>
      <c r="G198" t="s">
        <v>41</v>
      </c>
      <c r="H198" t="s">
        <v>42</v>
      </c>
      <c r="I198">
        <v>4</v>
      </c>
      <c r="J198" s="6">
        <v>10260</v>
      </c>
      <c r="K198" s="3">
        <v>0.05</v>
      </c>
      <c r="L198" s="6">
        <v>38988</v>
      </c>
      <c r="M198" s="6">
        <v>26146.83</v>
      </c>
      <c r="N198" s="6">
        <v>12841.17</v>
      </c>
      <c r="O198" t="s">
        <v>22</v>
      </c>
    </row>
    <row r="199" spans="1:15" x14ac:dyDescent="0.25">
      <c r="A199" t="s">
        <v>261</v>
      </c>
      <c r="B199" s="5">
        <v>45805</v>
      </c>
      <c r="C199" t="s">
        <v>96</v>
      </c>
      <c r="D199" t="s">
        <v>39</v>
      </c>
      <c r="E199" t="s">
        <v>18</v>
      </c>
      <c r="F199" t="s">
        <v>32</v>
      </c>
      <c r="G199" t="s">
        <v>52</v>
      </c>
      <c r="H199" t="s">
        <v>53</v>
      </c>
      <c r="I199">
        <v>2</v>
      </c>
      <c r="J199" s="6">
        <v>68585</v>
      </c>
      <c r="K199" s="3">
        <v>0.15</v>
      </c>
      <c r="L199" s="6">
        <v>116594.5</v>
      </c>
      <c r="M199" s="6">
        <v>71814.23</v>
      </c>
      <c r="N199" s="6">
        <v>44780.27</v>
      </c>
      <c r="O199" t="s">
        <v>74</v>
      </c>
    </row>
    <row r="200" spans="1:15" x14ac:dyDescent="0.25">
      <c r="A200" t="s">
        <v>262</v>
      </c>
      <c r="B200" s="5">
        <v>45805</v>
      </c>
      <c r="C200" t="s">
        <v>67</v>
      </c>
      <c r="D200" t="s">
        <v>39</v>
      </c>
      <c r="E200" t="s">
        <v>25</v>
      </c>
      <c r="F200" t="s">
        <v>19</v>
      </c>
      <c r="G200" t="s">
        <v>52</v>
      </c>
      <c r="H200" t="s">
        <v>53</v>
      </c>
      <c r="I200">
        <v>8</v>
      </c>
      <c r="J200" s="6">
        <v>59444</v>
      </c>
      <c r="K200" s="3">
        <v>0</v>
      </c>
      <c r="L200" s="6">
        <v>475552</v>
      </c>
      <c r="M200" s="6">
        <v>320942.26</v>
      </c>
      <c r="N200" s="6">
        <v>154609.74</v>
      </c>
      <c r="O200" t="s">
        <v>22</v>
      </c>
    </row>
    <row r="201" spans="1:15" x14ac:dyDescent="0.25">
      <c r="A201" t="s">
        <v>263</v>
      </c>
      <c r="B201" s="5">
        <v>45805</v>
      </c>
      <c r="C201" t="s">
        <v>88</v>
      </c>
      <c r="D201" t="s">
        <v>39</v>
      </c>
      <c r="E201" t="s">
        <v>49</v>
      </c>
      <c r="F201" t="s">
        <v>32</v>
      </c>
      <c r="G201" t="s">
        <v>64</v>
      </c>
      <c r="H201" t="s">
        <v>53</v>
      </c>
      <c r="I201">
        <v>4</v>
      </c>
      <c r="J201" s="6">
        <v>30466</v>
      </c>
      <c r="K201" s="3">
        <v>0.05</v>
      </c>
      <c r="L201" s="6">
        <v>115770.8</v>
      </c>
      <c r="M201" s="6">
        <v>82649.39</v>
      </c>
      <c r="N201" s="6">
        <v>33121.410000000003</v>
      </c>
      <c r="O201" t="s">
        <v>74</v>
      </c>
    </row>
    <row r="202" spans="1:15" x14ac:dyDescent="0.25">
      <c r="A202" t="s">
        <v>264</v>
      </c>
      <c r="B202" s="5">
        <v>45805</v>
      </c>
      <c r="C202" t="s">
        <v>79</v>
      </c>
      <c r="D202" t="s">
        <v>30</v>
      </c>
      <c r="E202" t="s">
        <v>57</v>
      </c>
      <c r="F202" t="s">
        <v>26</v>
      </c>
      <c r="G202" t="s">
        <v>77</v>
      </c>
      <c r="H202" t="s">
        <v>53</v>
      </c>
      <c r="I202">
        <v>6</v>
      </c>
      <c r="J202" s="6">
        <v>17867</v>
      </c>
      <c r="K202" s="3">
        <v>0.05</v>
      </c>
      <c r="L202" s="6">
        <v>101841.9</v>
      </c>
      <c r="M202" s="6">
        <v>67898.27</v>
      </c>
      <c r="N202" s="6">
        <v>33943.629999999997</v>
      </c>
      <c r="O202" t="s">
        <v>43</v>
      </c>
    </row>
    <row r="203" spans="1:15" x14ac:dyDescent="0.25">
      <c r="A203" t="s">
        <v>265</v>
      </c>
      <c r="B203" s="5">
        <v>45806</v>
      </c>
      <c r="C203" t="s">
        <v>67</v>
      </c>
      <c r="D203" t="s">
        <v>39</v>
      </c>
      <c r="E203" t="s">
        <v>36</v>
      </c>
      <c r="F203" t="s">
        <v>32</v>
      </c>
      <c r="G203" t="s">
        <v>20</v>
      </c>
      <c r="H203" t="s">
        <v>21</v>
      </c>
      <c r="I203">
        <v>6</v>
      </c>
      <c r="J203" s="6">
        <v>2511</v>
      </c>
      <c r="K203" s="3">
        <v>0.1</v>
      </c>
      <c r="L203" s="6">
        <v>13559.4</v>
      </c>
      <c r="M203" s="6">
        <v>9361.25</v>
      </c>
      <c r="N203" s="6">
        <v>4198.1499999999996</v>
      </c>
      <c r="O203" t="s">
        <v>58</v>
      </c>
    </row>
    <row r="204" spans="1:15" x14ac:dyDescent="0.25">
      <c r="A204" t="s">
        <v>266</v>
      </c>
      <c r="B204" s="5">
        <v>45806</v>
      </c>
      <c r="C204" t="s">
        <v>16</v>
      </c>
      <c r="D204" t="s">
        <v>48</v>
      </c>
      <c r="E204" t="s">
        <v>25</v>
      </c>
      <c r="F204" t="s">
        <v>32</v>
      </c>
      <c r="G204" t="s">
        <v>86</v>
      </c>
      <c r="H204" t="s">
        <v>42</v>
      </c>
      <c r="I204">
        <v>5</v>
      </c>
      <c r="J204" s="6">
        <v>11604</v>
      </c>
      <c r="K204" s="3">
        <v>0.15</v>
      </c>
      <c r="L204" s="6">
        <v>49317</v>
      </c>
      <c r="M204" s="6">
        <v>29640.46</v>
      </c>
      <c r="N204" s="6">
        <v>19676.54</v>
      </c>
      <c r="O204" t="s">
        <v>27</v>
      </c>
    </row>
    <row r="205" spans="1:15" x14ac:dyDescent="0.25">
      <c r="A205" t="s">
        <v>267</v>
      </c>
      <c r="B205" s="5">
        <v>45806</v>
      </c>
      <c r="C205" t="s">
        <v>45</v>
      </c>
      <c r="D205" t="s">
        <v>39</v>
      </c>
      <c r="E205" t="s">
        <v>18</v>
      </c>
      <c r="F205" t="s">
        <v>32</v>
      </c>
      <c r="G205" t="s">
        <v>41</v>
      </c>
      <c r="H205" t="s">
        <v>42</v>
      </c>
      <c r="I205">
        <v>6</v>
      </c>
      <c r="J205" s="6">
        <v>8928</v>
      </c>
      <c r="K205" s="3">
        <v>0.15</v>
      </c>
      <c r="L205" s="6">
        <v>45532.800000000003</v>
      </c>
      <c r="M205" s="6">
        <v>30198.720000000001</v>
      </c>
      <c r="N205" s="6">
        <v>15334.08</v>
      </c>
      <c r="O205" t="s">
        <v>27</v>
      </c>
    </row>
    <row r="206" spans="1:15" x14ac:dyDescent="0.25">
      <c r="A206" t="s">
        <v>268</v>
      </c>
      <c r="B206" s="5">
        <v>45807</v>
      </c>
      <c r="C206" t="s">
        <v>60</v>
      </c>
      <c r="D206" t="s">
        <v>30</v>
      </c>
      <c r="E206" t="s">
        <v>57</v>
      </c>
      <c r="F206" t="s">
        <v>26</v>
      </c>
      <c r="G206" t="s">
        <v>62</v>
      </c>
      <c r="H206" t="s">
        <v>21</v>
      </c>
      <c r="I206">
        <v>6</v>
      </c>
      <c r="J206" s="6">
        <v>3405</v>
      </c>
      <c r="K206" s="3">
        <v>0.1</v>
      </c>
      <c r="L206" s="6">
        <v>18387</v>
      </c>
      <c r="M206" s="6">
        <v>14473.88</v>
      </c>
      <c r="N206" s="6">
        <v>3913.12</v>
      </c>
      <c r="O206" t="s">
        <v>74</v>
      </c>
    </row>
    <row r="207" spans="1:15" x14ac:dyDescent="0.25">
      <c r="A207" t="s">
        <v>269</v>
      </c>
      <c r="B207" s="5">
        <v>45808</v>
      </c>
      <c r="C207" t="s">
        <v>72</v>
      </c>
      <c r="D207" t="s">
        <v>17</v>
      </c>
      <c r="E207" t="s">
        <v>18</v>
      </c>
      <c r="F207" t="s">
        <v>19</v>
      </c>
      <c r="G207" t="s">
        <v>33</v>
      </c>
      <c r="H207" t="s">
        <v>21</v>
      </c>
      <c r="I207">
        <v>3</v>
      </c>
      <c r="J207" s="6">
        <v>4255</v>
      </c>
      <c r="K207" s="3">
        <v>0</v>
      </c>
      <c r="L207" s="6">
        <v>12765</v>
      </c>
      <c r="M207" s="6">
        <v>10417.219999999999</v>
      </c>
      <c r="N207" s="6">
        <v>2347.7800000000002</v>
      </c>
      <c r="O207" t="s">
        <v>74</v>
      </c>
    </row>
    <row r="208" spans="1:15" x14ac:dyDescent="0.25">
      <c r="A208" t="s">
        <v>270</v>
      </c>
      <c r="B208" s="5">
        <v>45809</v>
      </c>
      <c r="C208" t="s">
        <v>72</v>
      </c>
      <c r="D208" t="s">
        <v>30</v>
      </c>
      <c r="E208" t="s">
        <v>31</v>
      </c>
      <c r="F208" t="s">
        <v>19</v>
      </c>
      <c r="G208" t="s">
        <v>107</v>
      </c>
      <c r="H208" t="s">
        <v>108</v>
      </c>
      <c r="I208">
        <v>8</v>
      </c>
      <c r="J208" s="6">
        <v>16163</v>
      </c>
      <c r="K208" s="3">
        <v>0.15</v>
      </c>
      <c r="L208" s="6">
        <v>109908.4</v>
      </c>
      <c r="M208" s="6">
        <v>88568.55</v>
      </c>
      <c r="N208" s="6">
        <v>21339.85</v>
      </c>
      <c r="O208" t="s">
        <v>58</v>
      </c>
    </row>
    <row r="209" spans="1:15" x14ac:dyDescent="0.25">
      <c r="A209" t="s">
        <v>271</v>
      </c>
      <c r="B209" s="5">
        <v>45809</v>
      </c>
      <c r="C209" t="s">
        <v>29</v>
      </c>
      <c r="D209" t="s">
        <v>17</v>
      </c>
      <c r="E209" t="s">
        <v>25</v>
      </c>
      <c r="F209" t="s">
        <v>26</v>
      </c>
      <c r="G209" t="s">
        <v>86</v>
      </c>
      <c r="H209" t="s">
        <v>42</v>
      </c>
      <c r="I209">
        <v>4</v>
      </c>
      <c r="J209" s="6">
        <v>10832</v>
      </c>
      <c r="K209" s="3">
        <v>0.05</v>
      </c>
      <c r="L209" s="6">
        <v>41161.599999999999</v>
      </c>
      <c r="M209" s="6">
        <v>25100.79</v>
      </c>
      <c r="N209" s="6">
        <v>16060.81</v>
      </c>
      <c r="O209" t="s">
        <v>43</v>
      </c>
    </row>
    <row r="210" spans="1:15" x14ac:dyDescent="0.25">
      <c r="A210" t="s">
        <v>272</v>
      </c>
      <c r="B210" s="5">
        <v>45809</v>
      </c>
      <c r="C210" t="s">
        <v>35</v>
      </c>
      <c r="D210" t="s">
        <v>17</v>
      </c>
      <c r="E210" t="s">
        <v>57</v>
      </c>
      <c r="F210" t="s">
        <v>26</v>
      </c>
      <c r="G210" t="s">
        <v>33</v>
      </c>
      <c r="H210" t="s">
        <v>21</v>
      </c>
      <c r="I210">
        <v>6</v>
      </c>
      <c r="J210" s="6">
        <v>4238</v>
      </c>
      <c r="K210" s="3">
        <v>0.15</v>
      </c>
      <c r="L210" s="6">
        <v>21613.8</v>
      </c>
      <c r="M210" s="6">
        <v>15442.31</v>
      </c>
      <c r="N210" s="6">
        <v>6171.49</v>
      </c>
      <c r="O210" t="s">
        <v>74</v>
      </c>
    </row>
    <row r="211" spans="1:15" x14ac:dyDescent="0.25">
      <c r="A211" t="s">
        <v>273</v>
      </c>
      <c r="B211" s="5">
        <v>45810</v>
      </c>
      <c r="C211" t="s">
        <v>88</v>
      </c>
      <c r="D211" t="s">
        <v>17</v>
      </c>
      <c r="E211" t="s">
        <v>36</v>
      </c>
      <c r="F211" t="s">
        <v>26</v>
      </c>
      <c r="G211" t="s">
        <v>52</v>
      </c>
      <c r="H211" t="s">
        <v>53</v>
      </c>
      <c r="I211">
        <v>5</v>
      </c>
      <c r="J211" s="6">
        <v>71340</v>
      </c>
      <c r="K211" s="3">
        <v>0.05</v>
      </c>
      <c r="L211" s="6">
        <v>338865</v>
      </c>
      <c r="M211" s="6">
        <v>231970.67</v>
      </c>
      <c r="N211" s="6">
        <v>106894.33</v>
      </c>
      <c r="O211" t="s">
        <v>27</v>
      </c>
    </row>
    <row r="212" spans="1:15" x14ac:dyDescent="0.25">
      <c r="A212" t="s">
        <v>274</v>
      </c>
      <c r="B212" s="5">
        <v>45810</v>
      </c>
      <c r="C212" t="s">
        <v>96</v>
      </c>
      <c r="D212" t="s">
        <v>17</v>
      </c>
      <c r="E212" t="s">
        <v>40</v>
      </c>
      <c r="F212" t="s">
        <v>19</v>
      </c>
      <c r="G212" t="s">
        <v>33</v>
      </c>
      <c r="H212" t="s">
        <v>21</v>
      </c>
      <c r="I212">
        <v>7</v>
      </c>
      <c r="J212" s="6">
        <v>4933</v>
      </c>
      <c r="K212" s="3">
        <v>0.15</v>
      </c>
      <c r="L212" s="6">
        <v>29351.35</v>
      </c>
      <c r="M212" s="6">
        <v>23166.7</v>
      </c>
      <c r="N212" s="6">
        <v>6184.65</v>
      </c>
      <c r="O212" t="s">
        <v>58</v>
      </c>
    </row>
    <row r="213" spans="1:15" x14ac:dyDescent="0.25">
      <c r="A213" t="s">
        <v>275</v>
      </c>
      <c r="B213" s="5">
        <v>45810</v>
      </c>
      <c r="C213" t="s">
        <v>29</v>
      </c>
      <c r="D213" t="s">
        <v>39</v>
      </c>
      <c r="E213" t="s">
        <v>49</v>
      </c>
      <c r="F213" t="s">
        <v>32</v>
      </c>
      <c r="G213" t="s">
        <v>64</v>
      </c>
      <c r="H213" t="s">
        <v>53</v>
      </c>
      <c r="I213">
        <v>4</v>
      </c>
      <c r="J213" s="6">
        <v>25563</v>
      </c>
      <c r="K213" s="3">
        <v>0.05</v>
      </c>
      <c r="L213" s="6">
        <v>97139.4</v>
      </c>
      <c r="M213" s="6">
        <v>76188.539999999994</v>
      </c>
      <c r="N213" s="6">
        <v>20950.86</v>
      </c>
      <c r="O213" t="s">
        <v>27</v>
      </c>
    </row>
    <row r="214" spans="1:15" x14ac:dyDescent="0.25">
      <c r="A214" t="s">
        <v>276</v>
      </c>
      <c r="B214" s="5">
        <v>45810</v>
      </c>
      <c r="C214" t="s">
        <v>88</v>
      </c>
      <c r="D214" t="s">
        <v>48</v>
      </c>
      <c r="E214" t="s">
        <v>25</v>
      </c>
      <c r="F214" t="s">
        <v>26</v>
      </c>
      <c r="G214" t="s">
        <v>52</v>
      </c>
      <c r="H214" t="s">
        <v>53</v>
      </c>
      <c r="I214">
        <v>1</v>
      </c>
      <c r="J214" s="6">
        <v>63589</v>
      </c>
      <c r="K214" s="3">
        <v>0.1</v>
      </c>
      <c r="L214" s="6">
        <v>57230.1</v>
      </c>
      <c r="M214" s="6">
        <v>35176.839999999997</v>
      </c>
      <c r="N214" s="6">
        <v>22053.26</v>
      </c>
      <c r="O214" t="s">
        <v>58</v>
      </c>
    </row>
    <row r="215" spans="1:15" x14ac:dyDescent="0.25">
      <c r="A215" t="s">
        <v>277</v>
      </c>
      <c r="B215" s="5">
        <v>45811</v>
      </c>
      <c r="C215" t="s">
        <v>29</v>
      </c>
      <c r="D215" t="s">
        <v>30</v>
      </c>
      <c r="E215" t="s">
        <v>36</v>
      </c>
      <c r="F215" t="s">
        <v>32</v>
      </c>
      <c r="G215" t="s">
        <v>62</v>
      </c>
      <c r="H215" t="s">
        <v>21</v>
      </c>
      <c r="I215">
        <v>6</v>
      </c>
      <c r="J215" s="6">
        <v>3438</v>
      </c>
      <c r="K215" s="3">
        <v>0.1</v>
      </c>
      <c r="L215" s="6">
        <v>18565.2</v>
      </c>
      <c r="M215" s="6">
        <v>11152.26</v>
      </c>
      <c r="N215" s="6">
        <v>7412.94</v>
      </c>
      <c r="O215" t="s">
        <v>22</v>
      </c>
    </row>
    <row r="216" spans="1:15" x14ac:dyDescent="0.25">
      <c r="A216" t="s">
        <v>278</v>
      </c>
      <c r="B216" s="5">
        <v>45813</v>
      </c>
      <c r="C216" t="s">
        <v>72</v>
      </c>
      <c r="D216" t="s">
        <v>30</v>
      </c>
      <c r="E216" t="s">
        <v>57</v>
      </c>
      <c r="F216" t="s">
        <v>26</v>
      </c>
      <c r="G216" t="s">
        <v>77</v>
      </c>
      <c r="H216" t="s">
        <v>53</v>
      </c>
      <c r="I216">
        <v>5</v>
      </c>
      <c r="J216" s="6">
        <v>18054</v>
      </c>
      <c r="K216" s="3">
        <v>0.2</v>
      </c>
      <c r="L216" s="6">
        <v>72216</v>
      </c>
      <c r="M216" s="6">
        <v>50621.8</v>
      </c>
      <c r="N216" s="6">
        <v>21594.2</v>
      </c>
      <c r="O216" t="s">
        <v>22</v>
      </c>
    </row>
    <row r="217" spans="1:15" x14ac:dyDescent="0.25">
      <c r="A217" t="s">
        <v>279</v>
      </c>
      <c r="B217" s="5">
        <v>45814</v>
      </c>
      <c r="C217" t="s">
        <v>60</v>
      </c>
      <c r="D217" t="s">
        <v>17</v>
      </c>
      <c r="E217" t="s">
        <v>57</v>
      </c>
      <c r="F217" t="s">
        <v>19</v>
      </c>
      <c r="G217" t="s">
        <v>107</v>
      </c>
      <c r="H217" t="s">
        <v>108</v>
      </c>
      <c r="I217">
        <v>1</v>
      </c>
      <c r="J217" s="6">
        <v>14435</v>
      </c>
      <c r="K217" s="3">
        <v>0.05</v>
      </c>
      <c r="L217" s="6">
        <v>13713.25</v>
      </c>
      <c r="M217" s="6">
        <v>10472.370000000001</v>
      </c>
      <c r="N217" s="6">
        <v>3240.88</v>
      </c>
      <c r="O217" t="s">
        <v>27</v>
      </c>
    </row>
    <row r="218" spans="1:15" x14ac:dyDescent="0.25">
      <c r="A218" t="s">
        <v>280</v>
      </c>
      <c r="B218" s="5">
        <v>45814</v>
      </c>
      <c r="C218" t="s">
        <v>96</v>
      </c>
      <c r="D218" t="s">
        <v>39</v>
      </c>
      <c r="E218" t="s">
        <v>36</v>
      </c>
      <c r="F218" t="s">
        <v>19</v>
      </c>
      <c r="G218" t="s">
        <v>20</v>
      </c>
      <c r="H218" t="s">
        <v>21</v>
      </c>
      <c r="I218">
        <v>8</v>
      </c>
      <c r="J218" s="6">
        <v>2405</v>
      </c>
      <c r="K218" s="3">
        <v>0.1</v>
      </c>
      <c r="L218" s="6">
        <v>17316</v>
      </c>
      <c r="M218" s="6">
        <v>13117.79</v>
      </c>
      <c r="N218" s="6">
        <v>4198.21</v>
      </c>
      <c r="O218" t="s">
        <v>74</v>
      </c>
    </row>
    <row r="219" spans="1:15" x14ac:dyDescent="0.25">
      <c r="A219" t="s">
        <v>281</v>
      </c>
      <c r="B219" s="5">
        <v>45814</v>
      </c>
      <c r="C219" t="s">
        <v>88</v>
      </c>
      <c r="D219" t="s">
        <v>48</v>
      </c>
      <c r="E219" t="s">
        <v>49</v>
      </c>
      <c r="F219" t="s">
        <v>26</v>
      </c>
      <c r="G219" t="s">
        <v>52</v>
      </c>
      <c r="H219" t="s">
        <v>53</v>
      </c>
      <c r="I219">
        <v>1</v>
      </c>
      <c r="J219" s="6">
        <v>71329</v>
      </c>
      <c r="K219" s="3">
        <v>0.15</v>
      </c>
      <c r="L219" s="6">
        <v>60629.65</v>
      </c>
      <c r="M219" s="6">
        <v>39028.36</v>
      </c>
      <c r="N219" s="6">
        <v>21601.29</v>
      </c>
      <c r="O219" t="s">
        <v>74</v>
      </c>
    </row>
    <row r="220" spans="1:15" x14ac:dyDescent="0.25">
      <c r="A220" t="s">
        <v>282</v>
      </c>
      <c r="B220" s="5">
        <v>45814</v>
      </c>
      <c r="C220" t="s">
        <v>72</v>
      </c>
      <c r="D220" t="s">
        <v>48</v>
      </c>
      <c r="E220" t="s">
        <v>25</v>
      </c>
      <c r="F220" t="s">
        <v>19</v>
      </c>
      <c r="G220" t="s">
        <v>107</v>
      </c>
      <c r="H220" t="s">
        <v>108</v>
      </c>
      <c r="I220">
        <v>4</v>
      </c>
      <c r="J220" s="6">
        <v>14391</v>
      </c>
      <c r="K220" s="3">
        <v>0</v>
      </c>
      <c r="L220" s="6">
        <v>57564</v>
      </c>
      <c r="M220" s="6">
        <v>42124.75</v>
      </c>
      <c r="N220" s="6">
        <v>15439.25</v>
      </c>
      <c r="O220" t="s">
        <v>22</v>
      </c>
    </row>
    <row r="221" spans="1:15" x14ac:dyDescent="0.25">
      <c r="A221" t="s">
        <v>283</v>
      </c>
      <c r="B221" s="5">
        <v>45816</v>
      </c>
      <c r="C221" t="s">
        <v>60</v>
      </c>
      <c r="D221" t="s">
        <v>17</v>
      </c>
      <c r="E221" t="s">
        <v>36</v>
      </c>
      <c r="F221" t="s">
        <v>19</v>
      </c>
      <c r="G221" t="s">
        <v>33</v>
      </c>
      <c r="H221" t="s">
        <v>21</v>
      </c>
      <c r="I221">
        <v>5</v>
      </c>
      <c r="J221" s="6">
        <v>4811</v>
      </c>
      <c r="K221" s="3">
        <v>0.1</v>
      </c>
      <c r="L221" s="6">
        <v>21649.5</v>
      </c>
      <c r="M221" s="6">
        <v>16492.09</v>
      </c>
      <c r="N221" s="6">
        <v>5157.41</v>
      </c>
      <c r="O221" t="s">
        <v>74</v>
      </c>
    </row>
    <row r="222" spans="1:15" x14ac:dyDescent="0.25">
      <c r="A222" t="s">
        <v>284</v>
      </c>
      <c r="B222" s="5">
        <v>45817</v>
      </c>
      <c r="C222" t="s">
        <v>67</v>
      </c>
      <c r="D222" t="s">
        <v>30</v>
      </c>
      <c r="E222" t="s">
        <v>36</v>
      </c>
      <c r="F222" t="s">
        <v>19</v>
      </c>
      <c r="G222" t="s">
        <v>41</v>
      </c>
      <c r="H222" t="s">
        <v>42</v>
      </c>
      <c r="I222">
        <v>3</v>
      </c>
      <c r="J222" s="6">
        <v>10380</v>
      </c>
      <c r="K222" s="3">
        <v>0.1</v>
      </c>
      <c r="L222" s="6">
        <v>28026</v>
      </c>
      <c r="M222" s="6">
        <v>22591.78</v>
      </c>
      <c r="N222" s="6">
        <v>5434.22</v>
      </c>
      <c r="O222" t="s">
        <v>74</v>
      </c>
    </row>
    <row r="223" spans="1:15" x14ac:dyDescent="0.25">
      <c r="A223" t="s">
        <v>285</v>
      </c>
      <c r="B223" s="5">
        <v>45817</v>
      </c>
      <c r="C223" t="s">
        <v>72</v>
      </c>
      <c r="D223" t="s">
        <v>30</v>
      </c>
      <c r="E223" t="s">
        <v>46</v>
      </c>
      <c r="F223" t="s">
        <v>19</v>
      </c>
      <c r="G223" t="s">
        <v>20</v>
      </c>
      <c r="H223" t="s">
        <v>21</v>
      </c>
      <c r="I223">
        <v>6</v>
      </c>
      <c r="J223" s="6">
        <v>2561</v>
      </c>
      <c r="K223" s="3">
        <v>0.1</v>
      </c>
      <c r="L223" s="6">
        <v>13829.4</v>
      </c>
      <c r="M223" s="6">
        <v>8403.7199999999993</v>
      </c>
      <c r="N223" s="6">
        <v>5425.68</v>
      </c>
      <c r="O223" t="s">
        <v>58</v>
      </c>
    </row>
    <row r="224" spans="1:15" x14ac:dyDescent="0.25">
      <c r="A224" t="s">
        <v>286</v>
      </c>
      <c r="B224" s="5">
        <v>45818</v>
      </c>
      <c r="C224" t="s">
        <v>88</v>
      </c>
      <c r="D224" t="s">
        <v>48</v>
      </c>
      <c r="E224" t="s">
        <v>49</v>
      </c>
      <c r="F224" t="s">
        <v>32</v>
      </c>
      <c r="G224" t="s">
        <v>82</v>
      </c>
      <c r="H224" t="s">
        <v>21</v>
      </c>
      <c r="I224">
        <v>1</v>
      </c>
      <c r="J224" s="6">
        <v>1198</v>
      </c>
      <c r="K224" s="3">
        <v>0</v>
      </c>
      <c r="L224" s="6">
        <v>1198</v>
      </c>
      <c r="M224" s="6">
        <v>815.39</v>
      </c>
      <c r="N224" s="6">
        <v>382.61</v>
      </c>
      <c r="O224" t="s">
        <v>74</v>
      </c>
    </row>
    <row r="225" spans="1:15" x14ac:dyDescent="0.25">
      <c r="A225" t="s">
        <v>287</v>
      </c>
      <c r="B225" s="5">
        <v>45818</v>
      </c>
      <c r="C225" t="s">
        <v>29</v>
      </c>
      <c r="D225" t="s">
        <v>48</v>
      </c>
      <c r="E225" t="s">
        <v>57</v>
      </c>
      <c r="F225" t="s">
        <v>26</v>
      </c>
      <c r="G225" t="s">
        <v>52</v>
      </c>
      <c r="H225" t="s">
        <v>53</v>
      </c>
      <c r="I225">
        <v>6</v>
      </c>
      <c r="J225" s="6">
        <v>66770</v>
      </c>
      <c r="K225" s="3">
        <v>0.15</v>
      </c>
      <c r="L225" s="6">
        <v>340527</v>
      </c>
      <c r="M225" s="6">
        <v>213181.47</v>
      </c>
      <c r="N225" s="6">
        <v>127345.53</v>
      </c>
      <c r="O225" t="s">
        <v>74</v>
      </c>
    </row>
    <row r="226" spans="1:15" x14ac:dyDescent="0.25">
      <c r="A226" t="s">
        <v>288</v>
      </c>
      <c r="B226" s="5">
        <v>45819</v>
      </c>
      <c r="C226" t="s">
        <v>88</v>
      </c>
      <c r="D226" t="s">
        <v>39</v>
      </c>
      <c r="E226" t="s">
        <v>18</v>
      </c>
      <c r="F226" t="s">
        <v>26</v>
      </c>
      <c r="G226" t="s">
        <v>52</v>
      </c>
      <c r="H226" t="s">
        <v>53</v>
      </c>
      <c r="I226">
        <v>7</v>
      </c>
      <c r="J226" s="6">
        <v>71226</v>
      </c>
      <c r="K226" s="3">
        <v>0.15</v>
      </c>
      <c r="L226" s="6">
        <v>423794.7</v>
      </c>
      <c r="M226" s="6">
        <v>335110.84000000003</v>
      </c>
      <c r="N226" s="6">
        <v>88683.86</v>
      </c>
      <c r="O226" t="s">
        <v>58</v>
      </c>
    </row>
    <row r="227" spans="1:15" x14ac:dyDescent="0.25">
      <c r="A227" t="s">
        <v>289</v>
      </c>
      <c r="B227" s="5">
        <v>45820</v>
      </c>
      <c r="C227" t="s">
        <v>91</v>
      </c>
      <c r="D227" t="s">
        <v>48</v>
      </c>
      <c r="E227" t="s">
        <v>18</v>
      </c>
      <c r="F227" t="s">
        <v>19</v>
      </c>
      <c r="G227" t="s">
        <v>20</v>
      </c>
      <c r="H227" t="s">
        <v>21</v>
      </c>
      <c r="I227">
        <v>1</v>
      </c>
      <c r="J227" s="6">
        <v>2552</v>
      </c>
      <c r="K227" s="3">
        <v>0.15</v>
      </c>
      <c r="L227" s="6">
        <v>2169.1999999999998</v>
      </c>
      <c r="M227" s="6">
        <v>1612.23</v>
      </c>
      <c r="N227" s="6">
        <v>556.97</v>
      </c>
      <c r="O227" t="s">
        <v>74</v>
      </c>
    </row>
    <row r="228" spans="1:15" x14ac:dyDescent="0.25">
      <c r="A228" t="s">
        <v>290</v>
      </c>
      <c r="B228" s="5">
        <v>45820</v>
      </c>
      <c r="C228" t="s">
        <v>88</v>
      </c>
      <c r="D228" t="s">
        <v>39</v>
      </c>
      <c r="E228" t="s">
        <v>49</v>
      </c>
      <c r="F228" t="s">
        <v>32</v>
      </c>
      <c r="G228" t="s">
        <v>86</v>
      </c>
      <c r="H228" t="s">
        <v>42</v>
      </c>
      <c r="I228">
        <v>3</v>
      </c>
      <c r="J228" s="6">
        <v>11770</v>
      </c>
      <c r="K228" s="3">
        <v>0.1</v>
      </c>
      <c r="L228" s="6">
        <v>31779</v>
      </c>
      <c r="M228" s="6">
        <v>23228.19</v>
      </c>
      <c r="N228" s="6">
        <v>8550.81</v>
      </c>
      <c r="O228" t="s">
        <v>43</v>
      </c>
    </row>
    <row r="229" spans="1:15" x14ac:dyDescent="0.25">
      <c r="A229" t="s">
        <v>291</v>
      </c>
      <c r="B229" s="5">
        <v>45822</v>
      </c>
      <c r="C229" t="s">
        <v>88</v>
      </c>
      <c r="D229" t="s">
        <v>39</v>
      </c>
      <c r="E229" t="s">
        <v>49</v>
      </c>
      <c r="F229" t="s">
        <v>26</v>
      </c>
      <c r="G229" t="s">
        <v>33</v>
      </c>
      <c r="H229" t="s">
        <v>21</v>
      </c>
      <c r="I229">
        <v>5</v>
      </c>
      <c r="J229" s="6">
        <v>4280</v>
      </c>
      <c r="K229" s="3">
        <v>0.1</v>
      </c>
      <c r="L229" s="6">
        <v>19260</v>
      </c>
      <c r="M229" s="6">
        <v>12395.38</v>
      </c>
      <c r="N229" s="6">
        <v>6864.62</v>
      </c>
      <c r="O229" t="s">
        <v>74</v>
      </c>
    </row>
    <row r="230" spans="1:15" x14ac:dyDescent="0.25">
      <c r="A230" t="s">
        <v>292</v>
      </c>
      <c r="B230" s="5">
        <v>45825</v>
      </c>
      <c r="C230" t="s">
        <v>79</v>
      </c>
      <c r="D230" t="s">
        <v>39</v>
      </c>
      <c r="E230" t="s">
        <v>18</v>
      </c>
      <c r="F230" t="s">
        <v>19</v>
      </c>
      <c r="G230" t="s">
        <v>64</v>
      </c>
      <c r="H230" t="s">
        <v>53</v>
      </c>
      <c r="I230">
        <v>1</v>
      </c>
      <c r="J230" s="6">
        <v>29782</v>
      </c>
      <c r="K230" s="3">
        <v>0</v>
      </c>
      <c r="L230" s="6">
        <v>29782</v>
      </c>
      <c r="M230" s="6">
        <v>23841.52</v>
      </c>
      <c r="N230" s="6">
        <v>5940.48</v>
      </c>
      <c r="O230" t="s">
        <v>22</v>
      </c>
    </row>
    <row r="231" spans="1:15" x14ac:dyDescent="0.25">
      <c r="A231" t="s">
        <v>293</v>
      </c>
      <c r="B231" s="5">
        <v>45825</v>
      </c>
      <c r="C231" t="s">
        <v>35</v>
      </c>
      <c r="D231" t="s">
        <v>17</v>
      </c>
      <c r="E231" t="s">
        <v>31</v>
      </c>
      <c r="F231" t="s">
        <v>19</v>
      </c>
      <c r="G231" t="s">
        <v>20</v>
      </c>
      <c r="H231" t="s">
        <v>21</v>
      </c>
      <c r="I231">
        <v>5</v>
      </c>
      <c r="J231" s="6">
        <v>2502</v>
      </c>
      <c r="K231" s="3">
        <v>0.1</v>
      </c>
      <c r="L231" s="6">
        <v>11259</v>
      </c>
      <c r="M231" s="6">
        <v>8892.14</v>
      </c>
      <c r="N231" s="6">
        <v>2366.86</v>
      </c>
      <c r="O231" t="s">
        <v>58</v>
      </c>
    </row>
    <row r="232" spans="1:15" x14ac:dyDescent="0.25">
      <c r="A232" t="s">
        <v>294</v>
      </c>
      <c r="B232" s="5">
        <v>45827</v>
      </c>
      <c r="C232" t="s">
        <v>96</v>
      </c>
      <c r="D232" t="s">
        <v>39</v>
      </c>
      <c r="E232" t="s">
        <v>46</v>
      </c>
      <c r="F232" t="s">
        <v>26</v>
      </c>
      <c r="G232" t="s">
        <v>62</v>
      </c>
      <c r="H232" t="s">
        <v>21</v>
      </c>
      <c r="I232">
        <v>3</v>
      </c>
      <c r="J232" s="6">
        <v>3771</v>
      </c>
      <c r="K232" s="3">
        <v>0.1</v>
      </c>
      <c r="L232" s="6">
        <v>10181.700000000001</v>
      </c>
      <c r="M232" s="6">
        <v>7960.82</v>
      </c>
      <c r="N232" s="6">
        <v>2220.88</v>
      </c>
      <c r="O232" t="s">
        <v>43</v>
      </c>
    </row>
    <row r="233" spans="1:15" x14ac:dyDescent="0.25">
      <c r="A233" t="s">
        <v>295</v>
      </c>
      <c r="B233" s="5">
        <v>45827</v>
      </c>
      <c r="C233" t="s">
        <v>45</v>
      </c>
      <c r="D233" t="s">
        <v>48</v>
      </c>
      <c r="E233" t="s">
        <v>25</v>
      </c>
      <c r="F233" t="s">
        <v>19</v>
      </c>
      <c r="G233" t="s">
        <v>77</v>
      </c>
      <c r="H233" t="s">
        <v>53</v>
      </c>
      <c r="I233">
        <v>6</v>
      </c>
      <c r="J233" s="6">
        <v>16200</v>
      </c>
      <c r="K233" s="3">
        <v>0</v>
      </c>
      <c r="L233" s="6">
        <v>97200</v>
      </c>
      <c r="M233" s="6">
        <v>66530.679999999993</v>
      </c>
      <c r="N233" s="6">
        <v>30669.32</v>
      </c>
      <c r="O233" t="s">
        <v>43</v>
      </c>
    </row>
    <row r="234" spans="1:15" x14ac:dyDescent="0.25">
      <c r="A234" t="s">
        <v>296</v>
      </c>
      <c r="B234" s="5">
        <v>45827</v>
      </c>
      <c r="C234" t="s">
        <v>60</v>
      </c>
      <c r="D234" t="s">
        <v>30</v>
      </c>
      <c r="E234" t="s">
        <v>18</v>
      </c>
      <c r="F234" t="s">
        <v>19</v>
      </c>
      <c r="G234" t="s">
        <v>107</v>
      </c>
      <c r="H234" t="s">
        <v>108</v>
      </c>
      <c r="I234">
        <v>5</v>
      </c>
      <c r="J234" s="6">
        <v>15146</v>
      </c>
      <c r="K234" s="3">
        <v>0.1</v>
      </c>
      <c r="L234" s="6">
        <v>68157</v>
      </c>
      <c r="M234" s="6">
        <v>46232.13</v>
      </c>
      <c r="N234" s="6">
        <v>21924.87</v>
      </c>
      <c r="O234" t="s">
        <v>27</v>
      </c>
    </row>
    <row r="235" spans="1:15" x14ac:dyDescent="0.25">
      <c r="A235" t="s">
        <v>297</v>
      </c>
      <c r="B235" s="5">
        <v>45827</v>
      </c>
      <c r="C235" t="s">
        <v>24</v>
      </c>
      <c r="D235" t="s">
        <v>48</v>
      </c>
      <c r="E235" t="s">
        <v>25</v>
      </c>
      <c r="F235" t="s">
        <v>19</v>
      </c>
      <c r="G235" t="s">
        <v>82</v>
      </c>
      <c r="H235" t="s">
        <v>21</v>
      </c>
      <c r="I235">
        <v>6</v>
      </c>
      <c r="J235" s="6">
        <v>1222</v>
      </c>
      <c r="K235" s="3">
        <v>0</v>
      </c>
      <c r="L235" s="6">
        <v>7332</v>
      </c>
      <c r="M235" s="6">
        <v>5132.75</v>
      </c>
      <c r="N235" s="6">
        <v>2199.25</v>
      </c>
      <c r="O235" t="s">
        <v>27</v>
      </c>
    </row>
    <row r="236" spans="1:15" x14ac:dyDescent="0.25">
      <c r="A236" t="s">
        <v>298</v>
      </c>
      <c r="B236" s="5">
        <v>45830</v>
      </c>
      <c r="C236" t="s">
        <v>72</v>
      </c>
      <c r="D236" t="s">
        <v>39</v>
      </c>
      <c r="E236" t="s">
        <v>36</v>
      </c>
      <c r="F236" t="s">
        <v>26</v>
      </c>
      <c r="G236" t="s">
        <v>62</v>
      </c>
      <c r="H236" t="s">
        <v>21</v>
      </c>
      <c r="I236">
        <v>6</v>
      </c>
      <c r="J236" s="6">
        <v>3827</v>
      </c>
      <c r="K236" s="3">
        <v>0.1</v>
      </c>
      <c r="L236" s="6">
        <v>20665.8</v>
      </c>
      <c r="M236" s="6">
        <v>13306.53</v>
      </c>
      <c r="N236" s="6">
        <v>7359.27</v>
      </c>
      <c r="O236" t="s">
        <v>74</v>
      </c>
    </row>
    <row r="237" spans="1:15" x14ac:dyDescent="0.25">
      <c r="A237" t="s">
        <v>299</v>
      </c>
      <c r="B237" s="5">
        <v>45833</v>
      </c>
      <c r="C237" t="s">
        <v>35</v>
      </c>
      <c r="D237" t="s">
        <v>48</v>
      </c>
      <c r="E237" t="s">
        <v>31</v>
      </c>
      <c r="F237" t="s">
        <v>32</v>
      </c>
      <c r="G237" t="s">
        <v>107</v>
      </c>
      <c r="H237" t="s">
        <v>108</v>
      </c>
      <c r="I237">
        <v>1</v>
      </c>
      <c r="J237" s="6">
        <v>16193</v>
      </c>
      <c r="K237" s="3">
        <v>0.15</v>
      </c>
      <c r="L237" s="6">
        <v>13764.05</v>
      </c>
      <c r="M237" s="6">
        <v>9243.44</v>
      </c>
      <c r="N237" s="6">
        <v>4520.6099999999997</v>
      </c>
      <c r="O237" t="s">
        <v>27</v>
      </c>
    </row>
    <row r="238" spans="1:15" x14ac:dyDescent="0.25">
      <c r="A238" t="s">
        <v>300</v>
      </c>
      <c r="B238" s="5">
        <v>45833</v>
      </c>
      <c r="C238" t="s">
        <v>35</v>
      </c>
      <c r="D238" t="s">
        <v>48</v>
      </c>
      <c r="E238" t="s">
        <v>40</v>
      </c>
      <c r="F238" t="s">
        <v>26</v>
      </c>
      <c r="G238" t="s">
        <v>62</v>
      </c>
      <c r="H238" t="s">
        <v>21</v>
      </c>
      <c r="I238">
        <v>5</v>
      </c>
      <c r="J238" s="6">
        <v>3745</v>
      </c>
      <c r="K238" s="3">
        <v>0.1</v>
      </c>
      <c r="L238" s="6">
        <v>16852.5</v>
      </c>
      <c r="M238" s="6">
        <v>11893.3</v>
      </c>
      <c r="N238" s="6">
        <v>4959.2</v>
      </c>
      <c r="O238" t="s">
        <v>27</v>
      </c>
    </row>
    <row r="239" spans="1:15" x14ac:dyDescent="0.25">
      <c r="A239" t="s">
        <v>301</v>
      </c>
      <c r="B239" s="5">
        <v>45833</v>
      </c>
      <c r="C239" t="s">
        <v>35</v>
      </c>
      <c r="D239" t="s">
        <v>48</v>
      </c>
      <c r="E239" t="s">
        <v>57</v>
      </c>
      <c r="F239" t="s">
        <v>26</v>
      </c>
      <c r="G239" t="s">
        <v>20</v>
      </c>
      <c r="H239" t="s">
        <v>21</v>
      </c>
      <c r="I239">
        <v>6</v>
      </c>
      <c r="J239" s="6">
        <v>2382</v>
      </c>
      <c r="K239" s="3">
        <v>0.05</v>
      </c>
      <c r="L239" s="6">
        <v>13577.4</v>
      </c>
      <c r="M239" s="6">
        <v>11052.85</v>
      </c>
      <c r="N239" s="6">
        <v>2524.5500000000002</v>
      </c>
      <c r="O239" t="s">
        <v>58</v>
      </c>
    </row>
    <row r="240" spans="1:15" x14ac:dyDescent="0.25">
      <c r="A240" t="s">
        <v>302</v>
      </c>
      <c r="B240" s="5">
        <v>45836</v>
      </c>
      <c r="C240" t="s">
        <v>24</v>
      </c>
      <c r="D240" t="s">
        <v>39</v>
      </c>
      <c r="E240" t="s">
        <v>40</v>
      </c>
      <c r="F240" t="s">
        <v>32</v>
      </c>
      <c r="G240" t="s">
        <v>33</v>
      </c>
      <c r="H240" t="s">
        <v>21</v>
      </c>
      <c r="I240">
        <v>4</v>
      </c>
      <c r="J240" s="6">
        <v>4937</v>
      </c>
      <c r="K240" s="3">
        <v>0.2</v>
      </c>
      <c r="L240" s="6">
        <v>15798.4</v>
      </c>
      <c r="M240" s="6">
        <v>9496.2099999999991</v>
      </c>
      <c r="N240" s="6">
        <v>6302.19</v>
      </c>
      <c r="O240" t="s">
        <v>74</v>
      </c>
    </row>
    <row r="241" spans="1:15" x14ac:dyDescent="0.25">
      <c r="A241" t="s">
        <v>303</v>
      </c>
      <c r="B241" s="5">
        <v>45836</v>
      </c>
      <c r="C241" t="s">
        <v>72</v>
      </c>
      <c r="D241" t="s">
        <v>30</v>
      </c>
      <c r="E241" t="s">
        <v>25</v>
      </c>
      <c r="F241" t="s">
        <v>26</v>
      </c>
      <c r="G241" t="s">
        <v>41</v>
      </c>
      <c r="H241" t="s">
        <v>42</v>
      </c>
      <c r="I241">
        <v>2</v>
      </c>
      <c r="J241" s="6">
        <v>8814</v>
      </c>
      <c r="K241" s="3">
        <v>0.15</v>
      </c>
      <c r="L241" s="6">
        <v>14983.8</v>
      </c>
      <c r="M241" s="6">
        <v>11034.31</v>
      </c>
      <c r="N241" s="6">
        <v>3949.49</v>
      </c>
      <c r="O241" t="s">
        <v>43</v>
      </c>
    </row>
    <row r="242" spans="1:15" x14ac:dyDescent="0.25">
      <c r="A242" t="s">
        <v>304</v>
      </c>
      <c r="B242" s="5">
        <v>45838</v>
      </c>
      <c r="C242" t="s">
        <v>60</v>
      </c>
      <c r="D242" t="s">
        <v>39</v>
      </c>
      <c r="E242" t="s">
        <v>18</v>
      </c>
      <c r="F242" t="s">
        <v>32</v>
      </c>
      <c r="G242" t="s">
        <v>41</v>
      </c>
      <c r="H242" t="s">
        <v>42</v>
      </c>
      <c r="I242">
        <v>4</v>
      </c>
      <c r="J242" s="6">
        <v>9357</v>
      </c>
      <c r="K242" s="3">
        <v>0</v>
      </c>
      <c r="L242" s="6">
        <v>37428</v>
      </c>
      <c r="M242" s="6">
        <v>23509.68</v>
      </c>
      <c r="N242" s="6">
        <v>13918.32</v>
      </c>
      <c r="O242" t="s">
        <v>74</v>
      </c>
    </row>
    <row r="243" spans="1:15" x14ac:dyDescent="0.25">
      <c r="A243" t="s">
        <v>305</v>
      </c>
      <c r="B243" s="5">
        <v>45839</v>
      </c>
      <c r="C243" t="s">
        <v>96</v>
      </c>
      <c r="D243" t="s">
        <v>39</v>
      </c>
      <c r="E243" t="s">
        <v>25</v>
      </c>
      <c r="F243" t="s">
        <v>26</v>
      </c>
      <c r="G243" t="s">
        <v>41</v>
      </c>
      <c r="H243" t="s">
        <v>42</v>
      </c>
      <c r="I243">
        <v>1</v>
      </c>
      <c r="J243" s="6">
        <v>9496</v>
      </c>
      <c r="K243" s="3">
        <v>0.05</v>
      </c>
      <c r="L243" s="6">
        <v>9021.2000000000007</v>
      </c>
      <c r="M243" s="6">
        <v>7228.38</v>
      </c>
      <c r="N243" s="6">
        <v>1792.82</v>
      </c>
      <c r="O243" t="s">
        <v>27</v>
      </c>
    </row>
    <row r="244" spans="1:15" x14ac:dyDescent="0.25">
      <c r="A244" t="s">
        <v>306</v>
      </c>
      <c r="B244" s="5">
        <v>45840</v>
      </c>
      <c r="C244" t="s">
        <v>72</v>
      </c>
      <c r="D244" t="s">
        <v>30</v>
      </c>
      <c r="E244" t="s">
        <v>18</v>
      </c>
      <c r="F244" t="s">
        <v>26</v>
      </c>
      <c r="G244" t="s">
        <v>52</v>
      </c>
      <c r="H244" t="s">
        <v>53</v>
      </c>
      <c r="I244">
        <v>1</v>
      </c>
      <c r="J244" s="6">
        <v>63446</v>
      </c>
      <c r="K244" s="3">
        <v>0</v>
      </c>
      <c r="L244" s="6">
        <v>63446</v>
      </c>
      <c r="M244" s="6">
        <v>49041.55</v>
      </c>
      <c r="N244" s="6">
        <v>14404.45</v>
      </c>
      <c r="O244" t="s">
        <v>58</v>
      </c>
    </row>
    <row r="245" spans="1:15" x14ac:dyDescent="0.25">
      <c r="A245" t="s">
        <v>307</v>
      </c>
      <c r="B245" s="5">
        <v>45840</v>
      </c>
      <c r="C245" t="s">
        <v>79</v>
      </c>
      <c r="D245" t="s">
        <v>48</v>
      </c>
      <c r="E245" t="s">
        <v>18</v>
      </c>
      <c r="F245" t="s">
        <v>19</v>
      </c>
      <c r="G245" t="s">
        <v>52</v>
      </c>
      <c r="H245" t="s">
        <v>53</v>
      </c>
      <c r="I245">
        <v>2</v>
      </c>
      <c r="J245" s="6">
        <v>63328</v>
      </c>
      <c r="K245" s="3">
        <v>0</v>
      </c>
      <c r="L245" s="6">
        <v>126656</v>
      </c>
      <c r="M245" s="6">
        <v>98323.14</v>
      </c>
      <c r="N245" s="6">
        <v>28332.86</v>
      </c>
      <c r="O245" t="s">
        <v>22</v>
      </c>
    </row>
    <row r="246" spans="1:15" x14ac:dyDescent="0.25">
      <c r="A246" t="s">
        <v>308</v>
      </c>
      <c r="B246" s="5">
        <v>45841</v>
      </c>
      <c r="C246" t="s">
        <v>24</v>
      </c>
      <c r="D246" t="s">
        <v>17</v>
      </c>
      <c r="E246" t="s">
        <v>57</v>
      </c>
      <c r="F246" t="s">
        <v>19</v>
      </c>
      <c r="G246" t="s">
        <v>33</v>
      </c>
      <c r="H246" t="s">
        <v>21</v>
      </c>
      <c r="I246">
        <v>6</v>
      </c>
      <c r="J246" s="6">
        <v>4843</v>
      </c>
      <c r="K246" s="3">
        <v>0.1</v>
      </c>
      <c r="L246" s="6">
        <v>26152.2</v>
      </c>
      <c r="M246" s="6">
        <v>20488.53</v>
      </c>
      <c r="N246" s="6">
        <v>5663.67</v>
      </c>
      <c r="O246" t="s">
        <v>58</v>
      </c>
    </row>
    <row r="247" spans="1:15" x14ac:dyDescent="0.25">
      <c r="A247" t="s">
        <v>309</v>
      </c>
      <c r="B247" s="5">
        <v>45841</v>
      </c>
      <c r="C247" t="s">
        <v>91</v>
      </c>
      <c r="D247" t="s">
        <v>48</v>
      </c>
      <c r="E247" t="s">
        <v>18</v>
      </c>
      <c r="F247" t="s">
        <v>32</v>
      </c>
      <c r="G247" t="s">
        <v>20</v>
      </c>
      <c r="H247" t="s">
        <v>21</v>
      </c>
      <c r="I247">
        <v>7</v>
      </c>
      <c r="J247" s="6">
        <v>2302</v>
      </c>
      <c r="K247" s="3">
        <v>0</v>
      </c>
      <c r="L247" s="6">
        <v>16114</v>
      </c>
      <c r="M247" s="6">
        <v>10000.780000000001</v>
      </c>
      <c r="N247" s="6">
        <v>6113.22</v>
      </c>
      <c r="O247" t="s">
        <v>27</v>
      </c>
    </row>
    <row r="248" spans="1:15" x14ac:dyDescent="0.25">
      <c r="A248" t="s">
        <v>310</v>
      </c>
      <c r="B248" s="5">
        <v>45841</v>
      </c>
      <c r="C248" t="s">
        <v>67</v>
      </c>
      <c r="D248" t="s">
        <v>17</v>
      </c>
      <c r="E248" t="s">
        <v>57</v>
      </c>
      <c r="F248" t="s">
        <v>19</v>
      </c>
      <c r="G248" t="s">
        <v>41</v>
      </c>
      <c r="H248" t="s">
        <v>42</v>
      </c>
      <c r="I248">
        <v>7</v>
      </c>
      <c r="J248" s="6">
        <v>10389</v>
      </c>
      <c r="K248" s="3">
        <v>0.05</v>
      </c>
      <c r="L248" s="6">
        <v>69086.850000000006</v>
      </c>
      <c r="M248" s="6">
        <v>49074.74</v>
      </c>
      <c r="N248" s="6">
        <v>20012.11</v>
      </c>
      <c r="O248" t="s">
        <v>27</v>
      </c>
    </row>
    <row r="249" spans="1:15" x14ac:dyDescent="0.25">
      <c r="A249" t="s">
        <v>311</v>
      </c>
      <c r="B249" s="5">
        <v>45843</v>
      </c>
      <c r="C249" t="s">
        <v>45</v>
      </c>
      <c r="D249" t="s">
        <v>17</v>
      </c>
      <c r="E249" t="s">
        <v>31</v>
      </c>
      <c r="F249" t="s">
        <v>19</v>
      </c>
      <c r="G249" t="s">
        <v>41</v>
      </c>
      <c r="H249" t="s">
        <v>42</v>
      </c>
      <c r="I249">
        <v>1</v>
      </c>
      <c r="J249" s="6">
        <v>9959</v>
      </c>
      <c r="K249" s="3">
        <v>0.15</v>
      </c>
      <c r="L249" s="6">
        <v>8465.15</v>
      </c>
      <c r="M249" s="6">
        <v>5596.64</v>
      </c>
      <c r="N249" s="6">
        <v>2868.51</v>
      </c>
      <c r="O249" t="s">
        <v>27</v>
      </c>
    </row>
    <row r="250" spans="1:15" x14ac:dyDescent="0.25">
      <c r="A250" t="s">
        <v>312</v>
      </c>
      <c r="B250" s="5">
        <v>45843</v>
      </c>
      <c r="C250" t="s">
        <v>38</v>
      </c>
      <c r="D250" t="s">
        <v>48</v>
      </c>
      <c r="E250" t="s">
        <v>40</v>
      </c>
      <c r="F250" t="s">
        <v>26</v>
      </c>
      <c r="G250" t="s">
        <v>64</v>
      </c>
      <c r="H250" t="s">
        <v>53</v>
      </c>
      <c r="I250">
        <v>6</v>
      </c>
      <c r="J250" s="6">
        <v>28277</v>
      </c>
      <c r="K250" s="3">
        <v>0.05</v>
      </c>
      <c r="L250" s="6">
        <v>161178.9</v>
      </c>
      <c r="M250" s="6">
        <v>128184.76</v>
      </c>
      <c r="N250" s="6">
        <v>32994.14</v>
      </c>
      <c r="O250" t="s">
        <v>43</v>
      </c>
    </row>
    <row r="251" spans="1:15" x14ac:dyDescent="0.25">
      <c r="A251" t="s">
        <v>313</v>
      </c>
      <c r="B251" s="5">
        <v>45843</v>
      </c>
      <c r="C251" t="s">
        <v>29</v>
      </c>
      <c r="D251" t="s">
        <v>17</v>
      </c>
      <c r="E251" t="s">
        <v>36</v>
      </c>
      <c r="F251" t="s">
        <v>26</v>
      </c>
      <c r="G251" t="s">
        <v>86</v>
      </c>
      <c r="H251" t="s">
        <v>42</v>
      </c>
      <c r="I251">
        <v>5</v>
      </c>
      <c r="J251" s="6">
        <v>11522</v>
      </c>
      <c r="K251" s="3">
        <v>0.1</v>
      </c>
      <c r="L251" s="6">
        <v>51849</v>
      </c>
      <c r="M251" s="6">
        <v>31750.19</v>
      </c>
      <c r="N251" s="6">
        <v>20098.810000000001</v>
      </c>
      <c r="O251" t="s">
        <v>74</v>
      </c>
    </row>
    <row r="252" spans="1:15" x14ac:dyDescent="0.25">
      <c r="A252" t="s">
        <v>314</v>
      </c>
      <c r="B252" s="5">
        <v>45844</v>
      </c>
      <c r="C252" t="s">
        <v>69</v>
      </c>
      <c r="D252" t="s">
        <v>48</v>
      </c>
      <c r="E252" t="s">
        <v>57</v>
      </c>
      <c r="F252" t="s">
        <v>19</v>
      </c>
      <c r="G252" t="s">
        <v>62</v>
      </c>
      <c r="H252" t="s">
        <v>21</v>
      </c>
      <c r="I252">
        <v>3</v>
      </c>
      <c r="J252" s="6">
        <v>3434</v>
      </c>
      <c r="K252" s="3">
        <v>0</v>
      </c>
      <c r="L252" s="6">
        <v>10302</v>
      </c>
      <c r="M252" s="6">
        <v>6363.02</v>
      </c>
      <c r="N252" s="6">
        <v>3938.98</v>
      </c>
      <c r="O252" t="s">
        <v>27</v>
      </c>
    </row>
    <row r="253" spans="1:15" x14ac:dyDescent="0.25">
      <c r="A253" t="s">
        <v>315</v>
      </c>
      <c r="B253" s="5">
        <v>45845</v>
      </c>
      <c r="C253" t="s">
        <v>45</v>
      </c>
      <c r="D253" t="s">
        <v>48</v>
      </c>
      <c r="E253" t="s">
        <v>46</v>
      </c>
      <c r="F253" t="s">
        <v>32</v>
      </c>
      <c r="G253" t="s">
        <v>20</v>
      </c>
      <c r="H253" t="s">
        <v>21</v>
      </c>
      <c r="I253">
        <v>4</v>
      </c>
      <c r="J253" s="6">
        <v>2507</v>
      </c>
      <c r="K253" s="3">
        <v>0.1</v>
      </c>
      <c r="L253" s="6">
        <v>9025.2000000000007</v>
      </c>
      <c r="M253" s="6">
        <v>5507.35</v>
      </c>
      <c r="N253" s="6">
        <v>3517.85</v>
      </c>
      <c r="O253" t="s">
        <v>27</v>
      </c>
    </row>
    <row r="254" spans="1:15" x14ac:dyDescent="0.25">
      <c r="A254" t="s">
        <v>316</v>
      </c>
      <c r="B254" s="5">
        <v>45845</v>
      </c>
      <c r="C254" t="s">
        <v>96</v>
      </c>
      <c r="D254" t="s">
        <v>17</v>
      </c>
      <c r="E254" t="s">
        <v>36</v>
      </c>
      <c r="F254" t="s">
        <v>19</v>
      </c>
      <c r="G254" t="s">
        <v>33</v>
      </c>
      <c r="H254" t="s">
        <v>21</v>
      </c>
      <c r="I254">
        <v>6</v>
      </c>
      <c r="J254" s="6">
        <v>4736</v>
      </c>
      <c r="K254" s="3">
        <v>0.1</v>
      </c>
      <c r="L254" s="6">
        <v>25574.400000000001</v>
      </c>
      <c r="M254" s="6">
        <v>16848.3</v>
      </c>
      <c r="N254" s="6">
        <v>8726.1</v>
      </c>
      <c r="O254" t="s">
        <v>43</v>
      </c>
    </row>
    <row r="255" spans="1:15" x14ac:dyDescent="0.25">
      <c r="A255" t="s">
        <v>317</v>
      </c>
      <c r="B255" s="5">
        <v>45845</v>
      </c>
      <c r="C255" t="s">
        <v>91</v>
      </c>
      <c r="D255" t="s">
        <v>48</v>
      </c>
      <c r="E255" t="s">
        <v>25</v>
      </c>
      <c r="F255" t="s">
        <v>32</v>
      </c>
      <c r="G255" t="s">
        <v>77</v>
      </c>
      <c r="H255" t="s">
        <v>53</v>
      </c>
      <c r="I255">
        <v>3</v>
      </c>
      <c r="J255" s="6">
        <v>18706</v>
      </c>
      <c r="K255" s="3">
        <v>0.05</v>
      </c>
      <c r="L255" s="6">
        <v>53312.1</v>
      </c>
      <c r="M255" s="6">
        <v>40487.800000000003</v>
      </c>
      <c r="N255" s="6">
        <v>12824.3</v>
      </c>
      <c r="O255" t="s">
        <v>43</v>
      </c>
    </row>
    <row r="256" spans="1:15" x14ac:dyDescent="0.25">
      <c r="A256" t="s">
        <v>318</v>
      </c>
      <c r="B256" s="5">
        <v>45845</v>
      </c>
      <c r="C256" t="s">
        <v>79</v>
      </c>
      <c r="D256" t="s">
        <v>17</v>
      </c>
      <c r="E256" t="s">
        <v>40</v>
      </c>
      <c r="F256" t="s">
        <v>19</v>
      </c>
      <c r="G256" t="s">
        <v>107</v>
      </c>
      <c r="H256" t="s">
        <v>108</v>
      </c>
      <c r="I256">
        <v>2</v>
      </c>
      <c r="J256" s="6">
        <v>14998</v>
      </c>
      <c r="K256" s="3">
        <v>0.1</v>
      </c>
      <c r="L256" s="6">
        <v>26996.400000000001</v>
      </c>
      <c r="M256" s="6">
        <v>17055.39</v>
      </c>
      <c r="N256" s="6">
        <v>9941.01</v>
      </c>
      <c r="O256" t="s">
        <v>58</v>
      </c>
    </row>
    <row r="257" spans="1:15" x14ac:dyDescent="0.25">
      <c r="A257" t="s">
        <v>319</v>
      </c>
      <c r="B257" s="5">
        <v>45845</v>
      </c>
      <c r="C257" t="s">
        <v>29</v>
      </c>
      <c r="D257" t="s">
        <v>39</v>
      </c>
      <c r="E257" t="s">
        <v>46</v>
      </c>
      <c r="F257" t="s">
        <v>26</v>
      </c>
      <c r="G257" t="s">
        <v>107</v>
      </c>
      <c r="H257" t="s">
        <v>108</v>
      </c>
      <c r="I257">
        <v>6</v>
      </c>
      <c r="J257" s="6">
        <v>13663</v>
      </c>
      <c r="K257" s="3">
        <v>0.2</v>
      </c>
      <c r="L257" s="6">
        <v>65582.399999999994</v>
      </c>
      <c r="M257" s="6">
        <v>42612.01</v>
      </c>
      <c r="N257" s="6">
        <v>22970.39</v>
      </c>
      <c r="O257" t="s">
        <v>58</v>
      </c>
    </row>
    <row r="258" spans="1:15" x14ac:dyDescent="0.25">
      <c r="A258" t="s">
        <v>320</v>
      </c>
      <c r="B258" s="5">
        <v>45847</v>
      </c>
      <c r="C258" t="s">
        <v>67</v>
      </c>
      <c r="D258" t="s">
        <v>39</v>
      </c>
      <c r="E258" t="s">
        <v>36</v>
      </c>
      <c r="F258" t="s">
        <v>32</v>
      </c>
      <c r="G258" t="s">
        <v>41</v>
      </c>
      <c r="H258" t="s">
        <v>42</v>
      </c>
      <c r="I258">
        <v>5</v>
      </c>
      <c r="J258" s="6">
        <v>9288</v>
      </c>
      <c r="K258" s="3">
        <v>0.05</v>
      </c>
      <c r="L258" s="6">
        <v>44118</v>
      </c>
      <c r="M258" s="6">
        <v>34514.49</v>
      </c>
      <c r="N258" s="6">
        <v>9603.51</v>
      </c>
      <c r="O258" t="s">
        <v>74</v>
      </c>
    </row>
    <row r="259" spans="1:15" x14ac:dyDescent="0.25">
      <c r="A259" t="s">
        <v>321</v>
      </c>
      <c r="B259" s="5">
        <v>45847</v>
      </c>
      <c r="C259" t="s">
        <v>45</v>
      </c>
      <c r="D259" t="s">
        <v>39</v>
      </c>
      <c r="E259" t="s">
        <v>36</v>
      </c>
      <c r="F259" t="s">
        <v>26</v>
      </c>
      <c r="G259" t="s">
        <v>33</v>
      </c>
      <c r="H259" t="s">
        <v>21</v>
      </c>
      <c r="I259">
        <v>6</v>
      </c>
      <c r="J259" s="6">
        <v>4092</v>
      </c>
      <c r="K259" s="3">
        <v>0</v>
      </c>
      <c r="L259" s="6">
        <v>24552</v>
      </c>
      <c r="M259" s="6">
        <v>18717.64</v>
      </c>
      <c r="N259" s="6">
        <v>5834.36</v>
      </c>
      <c r="O259" t="s">
        <v>27</v>
      </c>
    </row>
    <row r="260" spans="1:15" x14ac:dyDescent="0.25">
      <c r="A260" t="s">
        <v>322</v>
      </c>
      <c r="B260" s="5">
        <v>45848</v>
      </c>
      <c r="C260" t="s">
        <v>35</v>
      </c>
      <c r="D260" t="s">
        <v>30</v>
      </c>
      <c r="E260" t="s">
        <v>46</v>
      </c>
      <c r="F260" t="s">
        <v>19</v>
      </c>
      <c r="G260" t="s">
        <v>20</v>
      </c>
      <c r="H260" t="s">
        <v>21</v>
      </c>
      <c r="I260">
        <v>7</v>
      </c>
      <c r="J260" s="6">
        <v>2512</v>
      </c>
      <c r="K260" s="3">
        <v>0.1</v>
      </c>
      <c r="L260" s="6">
        <v>15825.6</v>
      </c>
      <c r="M260" s="6">
        <v>10111.219999999999</v>
      </c>
      <c r="N260" s="6">
        <v>5714.38</v>
      </c>
      <c r="O260" t="s">
        <v>27</v>
      </c>
    </row>
    <row r="261" spans="1:15" x14ac:dyDescent="0.25">
      <c r="A261" t="s">
        <v>323</v>
      </c>
      <c r="B261" s="5">
        <v>45848</v>
      </c>
      <c r="C261" t="s">
        <v>79</v>
      </c>
      <c r="D261" t="s">
        <v>17</v>
      </c>
      <c r="E261" t="s">
        <v>25</v>
      </c>
      <c r="F261" t="s">
        <v>19</v>
      </c>
      <c r="G261" t="s">
        <v>77</v>
      </c>
      <c r="H261" t="s">
        <v>53</v>
      </c>
      <c r="I261">
        <v>2</v>
      </c>
      <c r="J261" s="6">
        <v>17819</v>
      </c>
      <c r="K261" s="3">
        <v>0.05</v>
      </c>
      <c r="L261" s="6">
        <v>33856.1</v>
      </c>
      <c r="M261" s="6">
        <v>27215.73</v>
      </c>
      <c r="N261" s="6">
        <v>6640.37</v>
      </c>
      <c r="O261" t="s">
        <v>43</v>
      </c>
    </row>
    <row r="262" spans="1:15" x14ac:dyDescent="0.25">
      <c r="A262" t="s">
        <v>324</v>
      </c>
      <c r="B262" s="5">
        <v>45848</v>
      </c>
      <c r="C262" t="s">
        <v>24</v>
      </c>
      <c r="D262" t="s">
        <v>17</v>
      </c>
      <c r="E262" t="s">
        <v>31</v>
      </c>
      <c r="F262" t="s">
        <v>19</v>
      </c>
      <c r="G262" t="s">
        <v>62</v>
      </c>
      <c r="H262" t="s">
        <v>21</v>
      </c>
      <c r="I262">
        <v>4</v>
      </c>
      <c r="J262" s="6">
        <v>3336</v>
      </c>
      <c r="K262" s="3">
        <v>0</v>
      </c>
      <c r="L262" s="6">
        <v>13344</v>
      </c>
      <c r="M262" s="6">
        <v>8379.82</v>
      </c>
      <c r="N262" s="6">
        <v>4964.18</v>
      </c>
      <c r="O262" t="s">
        <v>58</v>
      </c>
    </row>
    <row r="263" spans="1:15" x14ac:dyDescent="0.25">
      <c r="A263" t="s">
        <v>325</v>
      </c>
      <c r="B263" s="5">
        <v>45849</v>
      </c>
      <c r="C263" t="s">
        <v>91</v>
      </c>
      <c r="D263" t="s">
        <v>48</v>
      </c>
      <c r="E263" t="s">
        <v>36</v>
      </c>
      <c r="F263" t="s">
        <v>32</v>
      </c>
      <c r="G263" t="s">
        <v>20</v>
      </c>
      <c r="H263" t="s">
        <v>21</v>
      </c>
      <c r="I263">
        <v>3</v>
      </c>
      <c r="J263" s="6">
        <v>2315</v>
      </c>
      <c r="K263" s="3">
        <v>0.05</v>
      </c>
      <c r="L263" s="6">
        <v>6597.75</v>
      </c>
      <c r="M263" s="6">
        <v>4531.38</v>
      </c>
      <c r="N263" s="6">
        <v>2066.37</v>
      </c>
      <c r="O263" t="s">
        <v>22</v>
      </c>
    </row>
    <row r="264" spans="1:15" x14ac:dyDescent="0.25">
      <c r="A264" t="s">
        <v>326</v>
      </c>
      <c r="B264" s="5">
        <v>45849</v>
      </c>
      <c r="C264" t="s">
        <v>96</v>
      </c>
      <c r="D264" t="s">
        <v>48</v>
      </c>
      <c r="E264" t="s">
        <v>49</v>
      </c>
      <c r="F264" t="s">
        <v>26</v>
      </c>
      <c r="G264" t="s">
        <v>62</v>
      </c>
      <c r="H264" t="s">
        <v>21</v>
      </c>
      <c r="I264">
        <v>1</v>
      </c>
      <c r="J264" s="6">
        <v>3362</v>
      </c>
      <c r="K264" s="3">
        <v>0.1</v>
      </c>
      <c r="L264" s="6">
        <v>3025.8</v>
      </c>
      <c r="M264" s="6">
        <v>2103.02</v>
      </c>
      <c r="N264" s="6">
        <v>922.78</v>
      </c>
      <c r="O264" t="s">
        <v>27</v>
      </c>
    </row>
    <row r="265" spans="1:15" x14ac:dyDescent="0.25">
      <c r="A265" t="s">
        <v>327</v>
      </c>
      <c r="B265" s="5">
        <v>45850</v>
      </c>
      <c r="C265" t="s">
        <v>38</v>
      </c>
      <c r="D265" t="s">
        <v>48</v>
      </c>
      <c r="E265" t="s">
        <v>25</v>
      </c>
      <c r="F265" t="s">
        <v>26</v>
      </c>
      <c r="G265" t="s">
        <v>82</v>
      </c>
      <c r="H265" t="s">
        <v>21</v>
      </c>
      <c r="I265">
        <v>3</v>
      </c>
      <c r="J265" s="6">
        <v>1086</v>
      </c>
      <c r="K265" s="3">
        <v>0.1</v>
      </c>
      <c r="L265" s="6">
        <v>2932.2</v>
      </c>
      <c r="M265" s="6">
        <v>2170.1799999999998</v>
      </c>
      <c r="N265" s="6">
        <v>762.02</v>
      </c>
      <c r="O265" t="s">
        <v>58</v>
      </c>
    </row>
    <row r="266" spans="1:15" x14ac:dyDescent="0.25">
      <c r="A266" t="s">
        <v>328</v>
      </c>
      <c r="B266" s="5">
        <v>45850</v>
      </c>
      <c r="C266" t="s">
        <v>79</v>
      </c>
      <c r="D266" t="s">
        <v>39</v>
      </c>
      <c r="E266" t="s">
        <v>46</v>
      </c>
      <c r="F266" t="s">
        <v>26</v>
      </c>
      <c r="G266" t="s">
        <v>52</v>
      </c>
      <c r="H266" t="s">
        <v>53</v>
      </c>
      <c r="I266">
        <v>6</v>
      </c>
      <c r="J266" s="6">
        <v>68805</v>
      </c>
      <c r="K266" s="3">
        <v>0</v>
      </c>
      <c r="L266" s="6">
        <v>412830</v>
      </c>
      <c r="M266" s="6">
        <v>290771.07</v>
      </c>
      <c r="N266" s="6">
        <v>122058.93</v>
      </c>
      <c r="O266" t="s">
        <v>27</v>
      </c>
    </row>
    <row r="267" spans="1:15" x14ac:dyDescent="0.25">
      <c r="A267" t="s">
        <v>329</v>
      </c>
      <c r="B267" s="5">
        <v>45850</v>
      </c>
      <c r="C267" t="s">
        <v>79</v>
      </c>
      <c r="D267" t="s">
        <v>39</v>
      </c>
      <c r="E267" t="s">
        <v>36</v>
      </c>
      <c r="F267" t="s">
        <v>26</v>
      </c>
      <c r="G267" t="s">
        <v>107</v>
      </c>
      <c r="H267" t="s">
        <v>108</v>
      </c>
      <c r="I267">
        <v>2</v>
      </c>
      <c r="J267" s="6">
        <v>13724</v>
      </c>
      <c r="K267" s="3">
        <v>0.15</v>
      </c>
      <c r="L267" s="6">
        <v>23330.799999999999</v>
      </c>
      <c r="M267" s="6">
        <v>19080.689999999999</v>
      </c>
      <c r="N267" s="6">
        <v>4250.1099999999997</v>
      </c>
      <c r="O267" t="s">
        <v>58</v>
      </c>
    </row>
    <row r="268" spans="1:15" x14ac:dyDescent="0.25">
      <c r="A268" t="s">
        <v>330</v>
      </c>
      <c r="B268" s="5">
        <v>45853</v>
      </c>
      <c r="C268" t="s">
        <v>35</v>
      </c>
      <c r="D268" t="s">
        <v>17</v>
      </c>
      <c r="E268" t="s">
        <v>46</v>
      </c>
      <c r="F268" t="s">
        <v>32</v>
      </c>
      <c r="G268" t="s">
        <v>86</v>
      </c>
      <c r="H268" t="s">
        <v>42</v>
      </c>
      <c r="I268">
        <v>4</v>
      </c>
      <c r="J268" s="6">
        <v>12936</v>
      </c>
      <c r="K268" s="3">
        <v>0</v>
      </c>
      <c r="L268" s="6">
        <v>51744</v>
      </c>
      <c r="M268" s="6">
        <v>39373.519999999997</v>
      </c>
      <c r="N268" s="6">
        <v>12370.48</v>
      </c>
      <c r="O268" t="s">
        <v>43</v>
      </c>
    </row>
    <row r="269" spans="1:15" x14ac:dyDescent="0.25">
      <c r="A269" t="s">
        <v>331</v>
      </c>
      <c r="B269" s="5">
        <v>45853</v>
      </c>
      <c r="C269" t="s">
        <v>91</v>
      </c>
      <c r="D269" t="s">
        <v>39</v>
      </c>
      <c r="E269" t="s">
        <v>36</v>
      </c>
      <c r="F269" t="s">
        <v>19</v>
      </c>
      <c r="G269" t="s">
        <v>77</v>
      </c>
      <c r="H269" t="s">
        <v>53</v>
      </c>
      <c r="I269">
        <v>7</v>
      </c>
      <c r="J269" s="6">
        <v>16782</v>
      </c>
      <c r="K269" s="3">
        <v>0.15</v>
      </c>
      <c r="L269" s="6">
        <v>99852.9</v>
      </c>
      <c r="M269" s="6">
        <v>72534.070000000007</v>
      </c>
      <c r="N269" s="6">
        <v>27318.83</v>
      </c>
      <c r="O269" t="s">
        <v>43</v>
      </c>
    </row>
    <row r="270" spans="1:15" x14ac:dyDescent="0.25">
      <c r="A270" t="s">
        <v>332</v>
      </c>
      <c r="B270" s="5">
        <v>45853</v>
      </c>
      <c r="C270" t="s">
        <v>16</v>
      </c>
      <c r="D270" t="s">
        <v>17</v>
      </c>
      <c r="E270" t="s">
        <v>25</v>
      </c>
      <c r="F270" t="s">
        <v>26</v>
      </c>
      <c r="G270" t="s">
        <v>82</v>
      </c>
      <c r="H270" t="s">
        <v>21</v>
      </c>
      <c r="I270">
        <v>4</v>
      </c>
      <c r="J270" s="6">
        <v>1284</v>
      </c>
      <c r="K270" s="3">
        <v>0.1</v>
      </c>
      <c r="L270" s="6">
        <v>4622.3999999999996</v>
      </c>
      <c r="M270" s="6">
        <v>3376.7</v>
      </c>
      <c r="N270" s="6">
        <v>1245.7</v>
      </c>
      <c r="O270" t="s">
        <v>22</v>
      </c>
    </row>
    <row r="271" spans="1:15" x14ac:dyDescent="0.25">
      <c r="A271" t="s">
        <v>333</v>
      </c>
      <c r="B271" s="5">
        <v>45854</v>
      </c>
      <c r="C271" t="s">
        <v>51</v>
      </c>
      <c r="D271" t="s">
        <v>39</v>
      </c>
      <c r="E271" t="s">
        <v>57</v>
      </c>
      <c r="F271" t="s">
        <v>19</v>
      </c>
      <c r="G271" t="s">
        <v>62</v>
      </c>
      <c r="H271" t="s">
        <v>21</v>
      </c>
      <c r="I271">
        <v>5</v>
      </c>
      <c r="J271" s="6">
        <v>3428</v>
      </c>
      <c r="K271" s="3">
        <v>0.05</v>
      </c>
      <c r="L271" s="6">
        <v>16283</v>
      </c>
      <c r="M271" s="6">
        <v>12970.89</v>
      </c>
      <c r="N271" s="6">
        <v>3312.11</v>
      </c>
      <c r="O271" t="s">
        <v>27</v>
      </c>
    </row>
    <row r="272" spans="1:15" x14ac:dyDescent="0.25">
      <c r="A272" t="s">
        <v>334</v>
      </c>
      <c r="B272" s="5">
        <v>45855</v>
      </c>
      <c r="C272" t="s">
        <v>16</v>
      </c>
      <c r="D272" t="s">
        <v>30</v>
      </c>
      <c r="E272" t="s">
        <v>40</v>
      </c>
      <c r="F272" t="s">
        <v>19</v>
      </c>
      <c r="G272" t="s">
        <v>77</v>
      </c>
      <c r="H272" t="s">
        <v>53</v>
      </c>
      <c r="I272">
        <v>1</v>
      </c>
      <c r="J272" s="6">
        <v>17743</v>
      </c>
      <c r="K272" s="3">
        <v>0</v>
      </c>
      <c r="L272" s="6">
        <v>17743</v>
      </c>
      <c r="M272" s="6">
        <v>13238.43</v>
      </c>
      <c r="N272" s="6">
        <v>4504.57</v>
      </c>
      <c r="O272" t="s">
        <v>58</v>
      </c>
    </row>
    <row r="273" spans="1:15" x14ac:dyDescent="0.25">
      <c r="A273" t="s">
        <v>335</v>
      </c>
      <c r="B273" s="5">
        <v>45855</v>
      </c>
      <c r="C273" t="s">
        <v>96</v>
      </c>
      <c r="D273" t="s">
        <v>30</v>
      </c>
      <c r="E273" t="s">
        <v>49</v>
      </c>
      <c r="F273" t="s">
        <v>32</v>
      </c>
      <c r="G273" t="s">
        <v>52</v>
      </c>
      <c r="H273" t="s">
        <v>53</v>
      </c>
      <c r="I273">
        <v>7</v>
      </c>
      <c r="J273" s="6">
        <v>67529</v>
      </c>
      <c r="K273" s="3">
        <v>0.1</v>
      </c>
      <c r="L273" s="6">
        <v>425432.7</v>
      </c>
      <c r="M273" s="6">
        <v>335909.75</v>
      </c>
      <c r="N273" s="6">
        <v>89522.95</v>
      </c>
      <c r="O273" t="s">
        <v>22</v>
      </c>
    </row>
    <row r="274" spans="1:15" x14ac:dyDescent="0.25">
      <c r="A274" t="s">
        <v>336</v>
      </c>
      <c r="B274" s="5">
        <v>45855</v>
      </c>
      <c r="C274" t="s">
        <v>60</v>
      </c>
      <c r="D274" t="s">
        <v>30</v>
      </c>
      <c r="E274" t="s">
        <v>49</v>
      </c>
      <c r="F274" t="s">
        <v>32</v>
      </c>
      <c r="G274" t="s">
        <v>52</v>
      </c>
      <c r="H274" t="s">
        <v>53</v>
      </c>
      <c r="I274">
        <v>3</v>
      </c>
      <c r="J274" s="6">
        <v>62383</v>
      </c>
      <c r="K274" s="3">
        <v>0.15</v>
      </c>
      <c r="L274" s="6">
        <v>159076.65</v>
      </c>
      <c r="M274" s="6">
        <v>104520.56</v>
      </c>
      <c r="N274" s="6">
        <v>54556.09</v>
      </c>
      <c r="O274" t="s">
        <v>22</v>
      </c>
    </row>
    <row r="275" spans="1:15" x14ac:dyDescent="0.25">
      <c r="A275" t="s">
        <v>337</v>
      </c>
      <c r="B275" s="5">
        <v>45855</v>
      </c>
      <c r="C275" t="s">
        <v>35</v>
      </c>
      <c r="D275" t="s">
        <v>39</v>
      </c>
      <c r="E275" t="s">
        <v>36</v>
      </c>
      <c r="F275" t="s">
        <v>26</v>
      </c>
      <c r="G275" t="s">
        <v>41</v>
      </c>
      <c r="H275" t="s">
        <v>42</v>
      </c>
      <c r="I275">
        <v>4</v>
      </c>
      <c r="J275" s="6">
        <v>9832</v>
      </c>
      <c r="K275" s="3">
        <v>0</v>
      </c>
      <c r="L275" s="6">
        <v>39328</v>
      </c>
      <c r="M275" s="6">
        <v>23962.71</v>
      </c>
      <c r="N275" s="6">
        <v>15365.29</v>
      </c>
      <c r="O275" t="s">
        <v>74</v>
      </c>
    </row>
    <row r="276" spans="1:15" x14ac:dyDescent="0.25">
      <c r="A276" t="s">
        <v>338</v>
      </c>
      <c r="B276" s="5">
        <v>45856</v>
      </c>
      <c r="C276" t="s">
        <v>96</v>
      </c>
      <c r="D276" t="s">
        <v>48</v>
      </c>
      <c r="E276" t="s">
        <v>36</v>
      </c>
      <c r="F276" t="s">
        <v>19</v>
      </c>
      <c r="G276" t="s">
        <v>62</v>
      </c>
      <c r="H276" t="s">
        <v>21</v>
      </c>
      <c r="I276">
        <v>3</v>
      </c>
      <c r="J276" s="6">
        <v>3421</v>
      </c>
      <c r="K276" s="3">
        <v>0.05</v>
      </c>
      <c r="L276" s="6">
        <v>9749.85</v>
      </c>
      <c r="M276" s="6">
        <v>6359.43</v>
      </c>
      <c r="N276" s="6">
        <v>3390.42</v>
      </c>
      <c r="O276" t="s">
        <v>27</v>
      </c>
    </row>
    <row r="277" spans="1:15" x14ac:dyDescent="0.25">
      <c r="A277" t="s">
        <v>339</v>
      </c>
      <c r="B277" s="5">
        <v>45858</v>
      </c>
      <c r="C277" t="s">
        <v>45</v>
      </c>
      <c r="D277" t="s">
        <v>30</v>
      </c>
      <c r="E277" t="s">
        <v>49</v>
      </c>
      <c r="F277" t="s">
        <v>26</v>
      </c>
      <c r="G277" t="s">
        <v>107</v>
      </c>
      <c r="H277" t="s">
        <v>108</v>
      </c>
      <c r="I277">
        <v>8</v>
      </c>
      <c r="J277" s="6">
        <v>13622</v>
      </c>
      <c r="K277" s="3">
        <v>0.1</v>
      </c>
      <c r="L277" s="6">
        <v>98078.399999999994</v>
      </c>
      <c r="M277" s="6">
        <v>73467.009999999995</v>
      </c>
      <c r="N277" s="6">
        <v>24611.39</v>
      </c>
      <c r="O277" t="s">
        <v>58</v>
      </c>
    </row>
    <row r="278" spans="1:15" x14ac:dyDescent="0.25">
      <c r="A278" t="s">
        <v>340</v>
      </c>
      <c r="B278" s="5">
        <v>45858</v>
      </c>
      <c r="C278" t="s">
        <v>60</v>
      </c>
      <c r="D278" t="s">
        <v>48</v>
      </c>
      <c r="E278" t="s">
        <v>46</v>
      </c>
      <c r="F278" t="s">
        <v>19</v>
      </c>
      <c r="G278" t="s">
        <v>52</v>
      </c>
      <c r="H278" t="s">
        <v>53</v>
      </c>
      <c r="I278">
        <v>5</v>
      </c>
      <c r="J278" s="6">
        <v>69079</v>
      </c>
      <c r="K278" s="3">
        <v>0.1</v>
      </c>
      <c r="L278" s="6">
        <v>310855.5</v>
      </c>
      <c r="M278" s="6">
        <v>197634.38</v>
      </c>
      <c r="N278" s="6">
        <v>113221.12</v>
      </c>
      <c r="O278" t="s">
        <v>27</v>
      </c>
    </row>
    <row r="279" spans="1:15" x14ac:dyDescent="0.25">
      <c r="A279" t="s">
        <v>341</v>
      </c>
      <c r="B279" s="5">
        <v>45859</v>
      </c>
      <c r="C279" t="s">
        <v>45</v>
      </c>
      <c r="D279" t="s">
        <v>17</v>
      </c>
      <c r="E279" t="s">
        <v>46</v>
      </c>
      <c r="F279" t="s">
        <v>32</v>
      </c>
      <c r="G279" t="s">
        <v>62</v>
      </c>
      <c r="H279" t="s">
        <v>21</v>
      </c>
      <c r="I279">
        <v>2</v>
      </c>
      <c r="J279" s="6">
        <v>3767</v>
      </c>
      <c r="K279" s="3">
        <v>0.15</v>
      </c>
      <c r="L279" s="6">
        <v>6403.9</v>
      </c>
      <c r="M279" s="6">
        <v>4807.6000000000004</v>
      </c>
      <c r="N279" s="6">
        <v>1596.3</v>
      </c>
      <c r="O279" t="s">
        <v>43</v>
      </c>
    </row>
    <row r="280" spans="1:15" x14ac:dyDescent="0.25">
      <c r="A280" t="s">
        <v>342</v>
      </c>
      <c r="B280" s="5">
        <v>45859</v>
      </c>
      <c r="C280" t="s">
        <v>38</v>
      </c>
      <c r="D280" t="s">
        <v>48</v>
      </c>
      <c r="E280" t="s">
        <v>18</v>
      </c>
      <c r="F280" t="s">
        <v>26</v>
      </c>
      <c r="G280" t="s">
        <v>82</v>
      </c>
      <c r="H280" t="s">
        <v>21</v>
      </c>
      <c r="I280">
        <v>6</v>
      </c>
      <c r="J280" s="6">
        <v>1158</v>
      </c>
      <c r="K280" s="3">
        <v>0</v>
      </c>
      <c r="L280" s="6">
        <v>6948</v>
      </c>
      <c r="M280" s="6">
        <v>4584.57</v>
      </c>
      <c r="N280" s="6">
        <v>2363.4299999999998</v>
      </c>
      <c r="O280" t="s">
        <v>43</v>
      </c>
    </row>
    <row r="281" spans="1:15" x14ac:dyDescent="0.25">
      <c r="A281" t="s">
        <v>343</v>
      </c>
      <c r="B281" s="5">
        <v>45860</v>
      </c>
      <c r="C281" t="s">
        <v>24</v>
      </c>
      <c r="D281" t="s">
        <v>30</v>
      </c>
      <c r="E281" t="s">
        <v>57</v>
      </c>
      <c r="F281" t="s">
        <v>26</v>
      </c>
      <c r="G281" t="s">
        <v>41</v>
      </c>
      <c r="H281" t="s">
        <v>42</v>
      </c>
      <c r="I281">
        <v>3</v>
      </c>
      <c r="J281" s="6">
        <v>9010</v>
      </c>
      <c r="K281" s="3">
        <v>0.15</v>
      </c>
      <c r="L281" s="6">
        <v>22975.5</v>
      </c>
      <c r="M281" s="6">
        <v>16162.49</v>
      </c>
      <c r="N281" s="6">
        <v>6813.01</v>
      </c>
      <c r="O281" t="s">
        <v>74</v>
      </c>
    </row>
    <row r="282" spans="1:15" x14ac:dyDescent="0.25">
      <c r="A282" t="s">
        <v>344</v>
      </c>
      <c r="B282" s="5">
        <v>45861</v>
      </c>
      <c r="C282" t="s">
        <v>79</v>
      </c>
      <c r="D282" t="s">
        <v>48</v>
      </c>
      <c r="E282" t="s">
        <v>49</v>
      </c>
      <c r="F282" t="s">
        <v>19</v>
      </c>
      <c r="G282" t="s">
        <v>77</v>
      </c>
      <c r="H282" t="s">
        <v>53</v>
      </c>
      <c r="I282">
        <v>1</v>
      </c>
      <c r="J282" s="6">
        <v>17203</v>
      </c>
      <c r="K282" s="3">
        <v>0.05</v>
      </c>
      <c r="L282" s="6">
        <v>16342.85</v>
      </c>
      <c r="M282" s="6">
        <v>13248.14</v>
      </c>
      <c r="N282" s="6">
        <v>3094.71</v>
      </c>
      <c r="O282" t="s">
        <v>27</v>
      </c>
    </row>
    <row r="283" spans="1:15" x14ac:dyDescent="0.25">
      <c r="A283" t="s">
        <v>345</v>
      </c>
      <c r="B283" s="5">
        <v>45861</v>
      </c>
      <c r="C283" t="s">
        <v>38</v>
      </c>
      <c r="D283" t="s">
        <v>48</v>
      </c>
      <c r="E283" t="s">
        <v>25</v>
      </c>
      <c r="F283" t="s">
        <v>26</v>
      </c>
      <c r="G283" t="s">
        <v>41</v>
      </c>
      <c r="H283" t="s">
        <v>42</v>
      </c>
      <c r="I283">
        <v>8</v>
      </c>
      <c r="J283" s="6">
        <v>9906</v>
      </c>
      <c r="K283" s="3">
        <v>0.15</v>
      </c>
      <c r="L283" s="6">
        <v>67360.800000000003</v>
      </c>
      <c r="M283" s="6">
        <v>45446.92</v>
      </c>
      <c r="N283" s="6">
        <v>21913.88</v>
      </c>
      <c r="O283" t="s">
        <v>43</v>
      </c>
    </row>
    <row r="284" spans="1:15" x14ac:dyDescent="0.25">
      <c r="A284" t="s">
        <v>346</v>
      </c>
      <c r="B284" s="5">
        <v>45862</v>
      </c>
      <c r="C284" t="s">
        <v>24</v>
      </c>
      <c r="D284" t="s">
        <v>17</v>
      </c>
      <c r="E284" t="s">
        <v>40</v>
      </c>
      <c r="F284" t="s">
        <v>26</v>
      </c>
      <c r="G284" t="s">
        <v>64</v>
      </c>
      <c r="H284" t="s">
        <v>53</v>
      </c>
      <c r="I284">
        <v>8</v>
      </c>
      <c r="J284" s="6">
        <v>26719</v>
      </c>
      <c r="K284" s="3">
        <v>0.1</v>
      </c>
      <c r="L284" s="6">
        <v>192376.8</v>
      </c>
      <c r="M284" s="6">
        <v>127457.38</v>
      </c>
      <c r="N284" s="6">
        <v>64919.42</v>
      </c>
      <c r="O284" t="s">
        <v>58</v>
      </c>
    </row>
    <row r="285" spans="1:15" x14ac:dyDescent="0.25">
      <c r="A285" t="s">
        <v>347</v>
      </c>
      <c r="B285" s="5">
        <v>45863</v>
      </c>
      <c r="C285" t="s">
        <v>29</v>
      </c>
      <c r="D285" t="s">
        <v>30</v>
      </c>
      <c r="E285" t="s">
        <v>36</v>
      </c>
      <c r="F285" t="s">
        <v>19</v>
      </c>
      <c r="G285" t="s">
        <v>52</v>
      </c>
      <c r="H285" t="s">
        <v>53</v>
      </c>
      <c r="I285">
        <v>4</v>
      </c>
      <c r="J285" s="6">
        <v>60869</v>
      </c>
      <c r="K285" s="3">
        <v>0.15</v>
      </c>
      <c r="L285" s="6">
        <v>206954.6</v>
      </c>
      <c r="M285" s="6">
        <v>143530.10999999999</v>
      </c>
      <c r="N285" s="6">
        <v>63424.49</v>
      </c>
      <c r="O285" t="s">
        <v>22</v>
      </c>
    </row>
    <row r="286" spans="1:15" x14ac:dyDescent="0.25">
      <c r="A286" t="s">
        <v>348</v>
      </c>
      <c r="B286" s="5">
        <v>45864</v>
      </c>
      <c r="C286" t="s">
        <v>69</v>
      </c>
      <c r="D286" t="s">
        <v>17</v>
      </c>
      <c r="E286" t="s">
        <v>36</v>
      </c>
      <c r="F286" t="s">
        <v>32</v>
      </c>
      <c r="G286" t="s">
        <v>82</v>
      </c>
      <c r="H286" t="s">
        <v>21</v>
      </c>
      <c r="I286">
        <v>8</v>
      </c>
      <c r="J286" s="6">
        <v>1262</v>
      </c>
      <c r="K286" s="3">
        <v>0</v>
      </c>
      <c r="L286" s="6">
        <v>10096</v>
      </c>
      <c r="M286" s="6">
        <v>6253.91</v>
      </c>
      <c r="N286" s="6">
        <v>3842.09</v>
      </c>
      <c r="O286" t="s">
        <v>43</v>
      </c>
    </row>
    <row r="287" spans="1:15" x14ac:dyDescent="0.25">
      <c r="A287" t="s">
        <v>349</v>
      </c>
      <c r="B287" s="5">
        <v>45865</v>
      </c>
      <c r="C287" t="s">
        <v>16</v>
      </c>
      <c r="D287" t="s">
        <v>17</v>
      </c>
      <c r="E287" t="s">
        <v>40</v>
      </c>
      <c r="F287" t="s">
        <v>19</v>
      </c>
      <c r="G287" t="s">
        <v>82</v>
      </c>
      <c r="H287" t="s">
        <v>21</v>
      </c>
      <c r="I287">
        <v>6</v>
      </c>
      <c r="J287" s="6">
        <v>1276</v>
      </c>
      <c r="K287" s="3">
        <v>0.1</v>
      </c>
      <c r="L287" s="6">
        <v>6890.4</v>
      </c>
      <c r="M287" s="6">
        <v>5109.83</v>
      </c>
      <c r="N287" s="6">
        <v>1780.57</v>
      </c>
      <c r="O287" t="s">
        <v>58</v>
      </c>
    </row>
    <row r="288" spans="1:15" x14ac:dyDescent="0.25">
      <c r="A288" t="s">
        <v>350</v>
      </c>
      <c r="B288" s="5">
        <v>45867</v>
      </c>
      <c r="C288" t="s">
        <v>29</v>
      </c>
      <c r="D288" t="s">
        <v>48</v>
      </c>
      <c r="E288" t="s">
        <v>57</v>
      </c>
      <c r="F288" t="s">
        <v>19</v>
      </c>
      <c r="G288" t="s">
        <v>62</v>
      </c>
      <c r="H288" t="s">
        <v>21</v>
      </c>
      <c r="I288">
        <v>5</v>
      </c>
      <c r="J288" s="6">
        <v>3441</v>
      </c>
      <c r="K288" s="3">
        <v>0.1</v>
      </c>
      <c r="L288" s="6">
        <v>15484.5</v>
      </c>
      <c r="M288" s="6">
        <v>10555.1</v>
      </c>
      <c r="N288" s="6">
        <v>4929.3999999999996</v>
      </c>
      <c r="O288" t="s">
        <v>74</v>
      </c>
    </row>
    <row r="289" spans="1:15" x14ac:dyDescent="0.25">
      <c r="A289" t="s">
        <v>351</v>
      </c>
      <c r="B289" s="5">
        <v>45867</v>
      </c>
      <c r="C289" t="s">
        <v>72</v>
      </c>
      <c r="D289" t="s">
        <v>30</v>
      </c>
      <c r="E289" t="s">
        <v>36</v>
      </c>
      <c r="F289" t="s">
        <v>26</v>
      </c>
      <c r="G289" t="s">
        <v>41</v>
      </c>
      <c r="H289" t="s">
        <v>42</v>
      </c>
      <c r="I289">
        <v>1</v>
      </c>
      <c r="J289" s="6">
        <v>10327</v>
      </c>
      <c r="K289" s="3">
        <v>0</v>
      </c>
      <c r="L289" s="6">
        <v>10327</v>
      </c>
      <c r="M289" s="6">
        <v>7042.52</v>
      </c>
      <c r="N289" s="6">
        <v>3284.48</v>
      </c>
      <c r="O289" t="s">
        <v>74</v>
      </c>
    </row>
    <row r="290" spans="1:15" x14ac:dyDescent="0.25">
      <c r="A290" t="s">
        <v>352</v>
      </c>
      <c r="B290" s="5">
        <v>45870</v>
      </c>
      <c r="C290" t="s">
        <v>72</v>
      </c>
      <c r="D290" t="s">
        <v>39</v>
      </c>
      <c r="E290" t="s">
        <v>49</v>
      </c>
      <c r="F290" t="s">
        <v>32</v>
      </c>
      <c r="G290" t="s">
        <v>33</v>
      </c>
      <c r="H290" t="s">
        <v>21</v>
      </c>
      <c r="I290">
        <v>2</v>
      </c>
      <c r="J290" s="6">
        <v>4616</v>
      </c>
      <c r="K290" s="3">
        <v>0</v>
      </c>
      <c r="L290" s="6">
        <v>9232</v>
      </c>
      <c r="M290" s="6">
        <v>5670.44</v>
      </c>
      <c r="N290" s="6">
        <v>3561.56</v>
      </c>
      <c r="O290" t="s">
        <v>43</v>
      </c>
    </row>
    <row r="291" spans="1:15" x14ac:dyDescent="0.25">
      <c r="A291" t="s">
        <v>353</v>
      </c>
      <c r="B291" s="5">
        <v>45871</v>
      </c>
      <c r="C291" t="s">
        <v>72</v>
      </c>
      <c r="D291" t="s">
        <v>48</v>
      </c>
      <c r="E291" t="s">
        <v>31</v>
      </c>
      <c r="F291" t="s">
        <v>26</v>
      </c>
      <c r="G291" t="s">
        <v>86</v>
      </c>
      <c r="H291" t="s">
        <v>42</v>
      </c>
      <c r="I291">
        <v>5</v>
      </c>
      <c r="J291" s="6">
        <v>11902</v>
      </c>
      <c r="K291" s="3">
        <v>0.05</v>
      </c>
      <c r="L291" s="6">
        <v>56534.5</v>
      </c>
      <c r="M291" s="6">
        <v>42899.76</v>
      </c>
      <c r="N291" s="6">
        <v>13634.74</v>
      </c>
      <c r="O291" t="s">
        <v>22</v>
      </c>
    </row>
    <row r="292" spans="1:15" x14ac:dyDescent="0.25">
      <c r="A292" t="s">
        <v>354</v>
      </c>
      <c r="B292" s="5">
        <v>45871</v>
      </c>
      <c r="C292" t="s">
        <v>67</v>
      </c>
      <c r="D292" t="s">
        <v>30</v>
      </c>
      <c r="E292" t="s">
        <v>57</v>
      </c>
      <c r="F292" t="s">
        <v>26</v>
      </c>
      <c r="G292" t="s">
        <v>62</v>
      </c>
      <c r="H292" t="s">
        <v>21</v>
      </c>
      <c r="I292">
        <v>6</v>
      </c>
      <c r="J292" s="6">
        <v>3490</v>
      </c>
      <c r="K292" s="3">
        <v>0</v>
      </c>
      <c r="L292" s="6">
        <v>20940</v>
      </c>
      <c r="M292" s="6">
        <v>15706.54</v>
      </c>
      <c r="N292" s="6">
        <v>5233.46</v>
      </c>
      <c r="O292" t="s">
        <v>74</v>
      </c>
    </row>
    <row r="293" spans="1:15" x14ac:dyDescent="0.25">
      <c r="A293" t="s">
        <v>355</v>
      </c>
      <c r="B293" s="5">
        <v>45872</v>
      </c>
      <c r="C293" t="s">
        <v>96</v>
      </c>
      <c r="D293" t="s">
        <v>48</v>
      </c>
      <c r="E293" t="s">
        <v>36</v>
      </c>
      <c r="F293" t="s">
        <v>19</v>
      </c>
      <c r="G293" t="s">
        <v>52</v>
      </c>
      <c r="H293" t="s">
        <v>53</v>
      </c>
      <c r="I293">
        <v>7</v>
      </c>
      <c r="J293" s="6">
        <v>69830</v>
      </c>
      <c r="K293" s="3">
        <v>0.05</v>
      </c>
      <c r="L293" s="6">
        <v>464369.5</v>
      </c>
      <c r="M293" s="6">
        <v>346588.8</v>
      </c>
      <c r="N293" s="6">
        <v>117780.7</v>
      </c>
      <c r="O293" t="s">
        <v>22</v>
      </c>
    </row>
    <row r="294" spans="1:15" x14ac:dyDescent="0.25">
      <c r="A294" t="s">
        <v>356</v>
      </c>
      <c r="B294" s="5">
        <v>45872</v>
      </c>
      <c r="C294" t="s">
        <v>35</v>
      </c>
      <c r="D294" t="s">
        <v>39</v>
      </c>
      <c r="E294" t="s">
        <v>25</v>
      </c>
      <c r="F294" t="s">
        <v>32</v>
      </c>
      <c r="G294" t="s">
        <v>52</v>
      </c>
      <c r="H294" t="s">
        <v>53</v>
      </c>
      <c r="I294">
        <v>2</v>
      </c>
      <c r="J294" s="6">
        <v>58792</v>
      </c>
      <c r="K294" s="3">
        <v>0.05</v>
      </c>
      <c r="L294" s="6">
        <v>111704.8</v>
      </c>
      <c r="M294" s="6">
        <v>80333.570000000007</v>
      </c>
      <c r="N294" s="6">
        <v>31371.23</v>
      </c>
      <c r="O294" t="s">
        <v>58</v>
      </c>
    </row>
    <row r="295" spans="1:15" x14ac:dyDescent="0.25">
      <c r="A295" t="s">
        <v>357</v>
      </c>
      <c r="B295" s="5">
        <v>45873</v>
      </c>
      <c r="C295" t="s">
        <v>91</v>
      </c>
      <c r="D295" t="s">
        <v>30</v>
      </c>
      <c r="E295" t="s">
        <v>25</v>
      </c>
      <c r="F295" t="s">
        <v>26</v>
      </c>
      <c r="G295" t="s">
        <v>52</v>
      </c>
      <c r="H295" t="s">
        <v>53</v>
      </c>
      <c r="I295">
        <v>8</v>
      </c>
      <c r="J295" s="6">
        <v>65226</v>
      </c>
      <c r="K295" s="3">
        <v>0.05</v>
      </c>
      <c r="L295" s="6">
        <v>495717.6</v>
      </c>
      <c r="M295" s="6">
        <v>331996.08</v>
      </c>
      <c r="N295" s="6">
        <v>163721.51999999999</v>
      </c>
      <c r="O295" t="s">
        <v>74</v>
      </c>
    </row>
    <row r="296" spans="1:15" x14ac:dyDescent="0.25">
      <c r="A296" t="s">
        <v>358</v>
      </c>
      <c r="B296" s="5">
        <v>45875</v>
      </c>
      <c r="C296" t="s">
        <v>69</v>
      </c>
      <c r="D296" t="s">
        <v>48</v>
      </c>
      <c r="E296" t="s">
        <v>40</v>
      </c>
      <c r="F296" t="s">
        <v>19</v>
      </c>
      <c r="G296" t="s">
        <v>33</v>
      </c>
      <c r="H296" t="s">
        <v>21</v>
      </c>
      <c r="I296">
        <v>8</v>
      </c>
      <c r="J296" s="6">
        <v>4776</v>
      </c>
      <c r="K296" s="3">
        <v>0.05</v>
      </c>
      <c r="L296" s="6">
        <v>36297.599999999999</v>
      </c>
      <c r="M296" s="6">
        <v>25489.200000000001</v>
      </c>
      <c r="N296" s="6">
        <v>10808.4</v>
      </c>
      <c r="O296" t="s">
        <v>22</v>
      </c>
    </row>
    <row r="297" spans="1:15" x14ac:dyDescent="0.25">
      <c r="A297" t="s">
        <v>359</v>
      </c>
      <c r="B297" s="5">
        <v>45875</v>
      </c>
      <c r="C297" t="s">
        <v>38</v>
      </c>
      <c r="D297" t="s">
        <v>17</v>
      </c>
      <c r="E297" t="s">
        <v>36</v>
      </c>
      <c r="F297" t="s">
        <v>32</v>
      </c>
      <c r="G297" t="s">
        <v>41</v>
      </c>
      <c r="H297" t="s">
        <v>42</v>
      </c>
      <c r="I297">
        <v>6</v>
      </c>
      <c r="J297" s="6">
        <v>8741</v>
      </c>
      <c r="K297" s="3">
        <v>0.05</v>
      </c>
      <c r="L297" s="6">
        <v>49823.7</v>
      </c>
      <c r="M297" s="6">
        <v>37853.11</v>
      </c>
      <c r="N297" s="6">
        <v>11970.59</v>
      </c>
      <c r="O297" t="s">
        <v>22</v>
      </c>
    </row>
    <row r="298" spans="1:15" x14ac:dyDescent="0.25">
      <c r="A298" t="s">
        <v>360</v>
      </c>
      <c r="B298" s="5">
        <v>45875</v>
      </c>
      <c r="C298" t="s">
        <v>72</v>
      </c>
      <c r="D298" t="s">
        <v>30</v>
      </c>
      <c r="E298" t="s">
        <v>49</v>
      </c>
      <c r="F298" t="s">
        <v>26</v>
      </c>
      <c r="G298" t="s">
        <v>82</v>
      </c>
      <c r="H298" t="s">
        <v>21</v>
      </c>
      <c r="I298">
        <v>2</v>
      </c>
      <c r="J298" s="6">
        <v>1317</v>
      </c>
      <c r="K298" s="3">
        <v>0.05</v>
      </c>
      <c r="L298" s="6">
        <v>2502.3000000000002</v>
      </c>
      <c r="M298" s="6">
        <v>1793.55</v>
      </c>
      <c r="N298" s="6">
        <v>708.75</v>
      </c>
      <c r="O298" t="s">
        <v>43</v>
      </c>
    </row>
    <row r="299" spans="1:15" x14ac:dyDescent="0.25">
      <c r="A299" t="s">
        <v>361</v>
      </c>
      <c r="B299" s="5">
        <v>45876</v>
      </c>
      <c r="C299" t="s">
        <v>35</v>
      </c>
      <c r="D299" t="s">
        <v>48</v>
      </c>
      <c r="E299" t="s">
        <v>31</v>
      </c>
      <c r="F299" t="s">
        <v>26</v>
      </c>
      <c r="G299" t="s">
        <v>77</v>
      </c>
      <c r="H299" t="s">
        <v>53</v>
      </c>
      <c r="I299">
        <v>4</v>
      </c>
      <c r="J299" s="6">
        <v>19179</v>
      </c>
      <c r="K299" s="3">
        <v>0.15</v>
      </c>
      <c r="L299" s="6">
        <v>65208.6</v>
      </c>
      <c r="M299" s="6">
        <v>47352.94</v>
      </c>
      <c r="N299" s="6">
        <v>17855.66</v>
      </c>
      <c r="O299" t="s">
        <v>74</v>
      </c>
    </row>
    <row r="300" spans="1:15" x14ac:dyDescent="0.25">
      <c r="A300" t="s">
        <v>362</v>
      </c>
      <c r="B300" s="5">
        <v>45877</v>
      </c>
      <c r="C300" t="s">
        <v>79</v>
      </c>
      <c r="D300" t="s">
        <v>30</v>
      </c>
      <c r="E300" t="s">
        <v>25</v>
      </c>
      <c r="F300" t="s">
        <v>26</v>
      </c>
      <c r="G300" t="s">
        <v>33</v>
      </c>
      <c r="H300" t="s">
        <v>21</v>
      </c>
      <c r="I300">
        <v>6</v>
      </c>
      <c r="J300" s="6">
        <v>4283</v>
      </c>
      <c r="K300" s="3">
        <v>0.2</v>
      </c>
      <c r="L300" s="6">
        <v>20558.400000000001</v>
      </c>
      <c r="M300" s="6">
        <v>14285.45</v>
      </c>
      <c r="N300" s="6">
        <v>6272.95</v>
      </c>
      <c r="O300" t="s">
        <v>43</v>
      </c>
    </row>
    <row r="301" spans="1:15" x14ac:dyDescent="0.25">
      <c r="A301" t="s">
        <v>363</v>
      </c>
      <c r="B301" s="5">
        <v>45879</v>
      </c>
      <c r="C301" t="s">
        <v>35</v>
      </c>
      <c r="D301" t="s">
        <v>48</v>
      </c>
      <c r="E301" t="s">
        <v>36</v>
      </c>
      <c r="F301" t="s">
        <v>26</v>
      </c>
      <c r="G301" t="s">
        <v>52</v>
      </c>
      <c r="H301" t="s">
        <v>53</v>
      </c>
      <c r="I301">
        <v>6</v>
      </c>
      <c r="J301" s="6">
        <v>62003</v>
      </c>
      <c r="K301" s="3">
        <v>0</v>
      </c>
      <c r="L301" s="6">
        <v>372018</v>
      </c>
      <c r="M301" s="6">
        <v>280062.96999999997</v>
      </c>
      <c r="N301" s="6">
        <v>91955.03</v>
      </c>
      <c r="O301" t="s">
        <v>27</v>
      </c>
    </row>
    <row r="302" spans="1:15" x14ac:dyDescent="0.25">
      <c r="A302" t="s">
        <v>364</v>
      </c>
      <c r="B302" s="5">
        <v>45879</v>
      </c>
      <c r="C302" t="s">
        <v>51</v>
      </c>
      <c r="D302" t="s">
        <v>48</v>
      </c>
      <c r="E302" t="s">
        <v>31</v>
      </c>
      <c r="F302" t="s">
        <v>19</v>
      </c>
      <c r="G302" t="s">
        <v>107</v>
      </c>
      <c r="H302" t="s">
        <v>108</v>
      </c>
      <c r="I302">
        <v>3</v>
      </c>
      <c r="J302" s="6">
        <v>13965</v>
      </c>
      <c r="K302" s="3">
        <v>0</v>
      </c>
      <c r="L302" s="6">
        <v>41895</v>
      </c>
      <c r="M302" s="6">
        <v>33079.99</v>
      </c>
      <c r="N302" s="6">
        <v>8815.01</v>
      </c>
      <c r="O302" t="s">
        <v>27</v>
      </c>
    </row>
    <row r="303" spans="1:15" x14ac:dyDescent="0.25">
      <c r="A303" t="s">
        <v>365</v>
      </c>
      <c r="B303" s="5">
        <v>45880</v>
      </c>
      <c r="C303" t="s">
        <v>35</v>
      </c>
      <c r="D303" t="s">
        <v>17</v>
      </c>
      <c r="E303" t="s">
        <v>36</v>
      </c>
      <c r="F303" t="s">
        <v>19</v>
      </c>
      <c r="G303" t="s">
        <v>64</v>
      </c>
      <c r="H303" t="s">
        <v>53</v>
      </c>
      <c r="I303">
        <v>6</v>
      </c>
      <c r="J303" s="6">
        <v>30109</v>
      </c>
      <c r="K303" s="3">
        <v>0.2</v>
      </c>
      <c r="L303" s="6">
        <v>144523.20000000001</v>
      </c>
      <c r="M303" s="6">
        <v>98424.36</v>
      </c>
      <c r="N303" s="6">
        <v>46098.84</v>
      </c>
      <c r="O303" t="s">
        <v>58</v>
      </c>
    </row>
    <row r="304" spans="1:15" x14ac:dyDescent="0.25">
      <c r="A304" t="s">
        <v>366</v>
      </c>
      <c r="B304" s="5">
        <v>45881</v>
      </c>
      <c r="C304" t="s">
        <v>24</v>
      </c>
      <c r="D304" t="s">
        <v>30</v>
      </c>
      <c r="E304" t="s">
        <v>46</v>
      </c>
      <c r="F304" t="s">
        <v>32</v>
      </c>
      <c r="G304" t="s">
        <v>107</v>
      </c>
      <c r="H304" t="s">
        <v>108</v>
      </c>
      <c r="I304">
        <v>6</v>
      </c>
      <c r="J304" s="6">
        <v>16454</v>
      </c>
      <c r="K304" s="3">
        <v>0.15</v>
      </c>
      <c r="L304" s="6">
        <v>83915.4</v>
      </c>
      <c r="M304" s="6">
        <v>51146.29</v>
      </c>
      <c r="N304" s="6">
        <v>32769.11</v>
      </c>
      <c r="O304" t="s">
        <v>43</v>
      </c>
    </row>
    <row r="305" spans="1:15" x14ac:dyDescent="0.25">
      <c r="A305" t="s">
        <v>367</v>
      </c>
      <c r="B305" s="5">
        <v>45883</v>
      </c>
      <c r="C305" t="s">
        <v>88</v>
      </c>
      <c r="D305" t="s">
        <v>48</v>
      </c>
      <c r="E305" t="s">
        <v>57</v>
      </c>
      <c r="F305" t="s">
        <v>19</v>
      </c>
      <c r="G305" t="s">
        <v>33</v>
      </c>
      <c r="H305" t="s">
        <v>21</v>
      </c>
      <c r="I305">
        <v>7</v>
      </c>
      <c r="J305" s="6">
        <v>4149</v>
      </c>
      <c r="K305" s="3">
        <v>0.1</v>
      </c>
      <c r="L305" s="6">
        <v>26138.7</v>
      </c>
      <c r="M305" s="6">
        <v>16229.59</v>
      </c>
      <c r="N305" s="6">
        <v>9909.11</v>
      </c>
      <c r="O305" t="s">
        <v>74</v>
      </c>
    </row>
    <row r="306" spans="1:15" x14ac:dyDescent="0.25">
      <c r="A306" t="s">
        <v>368</v>
      </c>
      <c r="B306" s="5">
        <v>45883</v>
      </c>
      <c r="C306" t="s">
        <v>79</v>
      </c>
      <c r="D306" t="s">
        <v>30</v>
      </c>
      <c r="E306" t="s">
        <v>36</v>
      </c>
      <c r="F306" t="s">
        <v>32</v>
      </c>
      <c r="G306" t="s">
        <v>107</v>
      </c>
      <c r="H306" t="s">
        <v>108</v>
      </c>
      <c r="I306">
        <v>2</v>
      </c>
      <c r="J306" s="6">
        <v>15269</v>
      </c>
      <c r="K306" s="3">
        <v>0.05</v>
      </c>
      <c r="L306" s="6">
        <v>29011.1</v>
      </c>
      <c r="M306" s="6">
        <v>20198.82</v>
      </c>
      <c r="N306" s="6">
        <v>8812.2800000000007</v>
      </c>
      <c r="O306" t="s">
        <v>74</v>
      </c>
    </row>
    <row r="307" spans="1:15" x14ac:dyDescent="0.25">
      <c r="A307" t="s">
        <v>369</v>
      </c>
      <c r="B307" s="5">
        <v>45883</v>
      </c>
      <c r="C307" t="s">
        <v>91</v>
      </c>
      <c r="D307" t="s">
        <v>39</v>
      </c>
      <c r="E307" t="s">
        <v>31</v>
      </c>
      <c r="F307" t="s">
        <v>26</v>
      </c>
      <c r="G307" t="s">
        <v>62</v>
      </c>
      <c r="H307" t="s">
        <v>21</v>
      </c>
      <c r="I307">
        <v>6</v>
      </c>
      <c r="J307" s="6">
        <v>3601</v>
      </c>
      <c r="K307" s="3">
        <v>0.1</v>
      </c>
      <c r="L307" s="6">
        <v>19445.400000000001</v>
      </c>
      <c r="M307" s="6">
        <v>15364.14</v>
      </c>
      <c r="N307" s="6">
        <v>4081.26</v>
      </c>
      <c r="O307" t="s">
        <v>43</v>
      </c>
    </row>
    <row r="308" spans="1:15" x14ac:dyDescent="0.25">
      <c r="A308" t="s">
        <v>370</v>
      </c>
      <c r="B308" s="5">
        <v>45884</v>
      </c>
      <c r="C308" t="s">
        <v>96</v>
      </c>
      <c r="D308" t="s">
        <v>48</v>
      </c>
      <c r="E308" t="s">
        <v>18</v>
      </c>
      <c r="F308" t="s">
        <v>26</v>
      </c>
      <c r="G308" t="s">
        <v>86</v>
      </c>
      <c r="H308" t="s">
        <v>42</v>
      </c>
      <c r="I308">
        <v>5</v>
      </c>
      <c r="J308" s="6">
        <v>11779</v>
      </c>
      <c r="K308" s="3">
        <v>0.15</v>
      </c>
      <c r="L308" s="6">
        <v>50060.75</v>
      </c>
      <c r="M308" s="6">
        <v>39988.21</v>
      </c>
      <c r="N308" s="6">
        <v>10072.540000000001</v>
      </c>
      <c r="O308" t="s">
        <v>43</v>
      </c>
    </row>
    <row r="309" spans="1:15" x14ac:dyDescent="0.25">
      <c r="A309" t="s">
        <v>371</v>
      </c>
      <c r="B309" s="5">
        <v>45884</v>
      </c>
      <c r="C309" t="s">
        <v>79</v>
      </c>
      <c r="D309" t="s">
        <v>48</v>
      </c>
      <c r="E309" t="s">
        <v>18</v>
      </c>
      <c r="F309" t="s">
        <v>32</v>
      </c>
      <c r="G309" t="s">
        <v>20</v>
      </c>
      <c r="H309" t="s">
        <v>21</v>
      </c>
      <c r="I309">
        <v>4</v>
      </c>
      <c r="J309" s="6">
        <v>2287</v>
      </c>
      <c r="K309" s="3">
        <v>0</v>
      </c>
      <c r="L309" s="6">
        <v>9148</v>
      </c>
      <c r="M309" s="6">
        <v>5925.14</v>
      </c>
      <c r="N309" s="6">
        <v>3222.86</v>
      </c>
      <c r="O309" t="s">
        <v>58</v>
      </c>
    </row>
    <row r="310" spans="1:15" x14ac:dyDescent="0.25">
      <c r="A310" t="s">
        <v>372</v>
      </c>
      <c r="B310" s="5">
        <v>45885</v>
      </c>
      <c r="C310" t="s">
        <v>72</v>
      </c>
      <c r="D310" t="s">
        <v>30</v>
      </c>
      <c r="E310" t="s">
        <v>18</v>
      </c>
      <c r="F310" t="s">
        <v>26</v>
      </c>
      <c r="G310" t="s">
        <v>41</v>
      </c>
      <c r="H310" t="s">
        <v>42</v>
      </c>
      <c r="I310">
        <v>3</v>
      </c>
      <c r="J310" s="6">
        <v>8669</v>
      </c>
      <c r="K310" s="3">
        <v>0.15</v>
      </c>
      <c r="L310" s="6">
        <v>22105.95</v>
      </c>
      <c r="M310" s="6">
        <v>13940.76</v>
      </c>
      <c r="N310" s="6">
        <v>8165.19</v>
      </c>
      <c r="O310" t="s">
        <v>27</v>
      </c>
    </row>
    <row r="311" spans="1:15" x14ac:dyDescent="0.25">
      <c r="A311" t="s">
        <v>373</v>
      </c>
      <c r="B311" s="5">
        <v>45886</v>
      </c>
      <c r="C311" t="s">
        <v>60</v>
      </c>
      <c r="D311" t="s">
        <v>17</v>
      </c>
      <c r="E311" t="s">
        <v>18</v>
      </c>
      <c r="F311" t="s">
        <v>32</v>
      </c>
      <c r="G311" t="s">
        <v>20</v>
      </c>
      <c r="H311" t="s">
        <v>21</v>
      </c>
      <c r="I311">
        <v>5</v>
      </c>
      <c r="J311" s="6">
        <v>2343</v>
      </c>
      <c r="K311" s="3">
        <v>0.05</v>
      </c>
      <c r="L311" s="6">
        <v>11129.25</v>
      </c>
      <c r="M311" s="6">
        <v>8229.27</v>
      </c>
      <c r="N311" s="6">
        <v>2899.98</v>
      </c>
      <c r="O311" t="s">
        <v>27</v>
      </c>
    </row>
    <row r="312" spans="1:15" x14ac:dyDescent="0.25">
      <c r="A312" t="s">
        <v>374</v>
      </c>
      <c r="B312" s="5">
        <v>45888</v>
      </c>
      <c r="C312" t="s">
        <v>60</v>
      </c>
      <c r="D312" t="s">
        <v>17</v>
      </c>
      <c r="E312" t="s">
        <v>18</v>
      </c>
      <c r="F312" t="s">
        <v>26</v>
      </c>
      <c r="G312" t="s">
        <v>52</v>
      </c>
      <c r="H312" t="s">
        <v>53</v>
      </c>
      <c r="I312">
        <v>5</v>
      </c>
      <c r="J312" s="6">
        <v>69238</v>
      </c>
      <c r="K312" s="3">
        <v>0.15</v>
      </c>
      <c r="L312" s="6">
        <v>294261.5</v>
      </c>
      <c r="M312" s="6">
        <v>222439.28</v>
      </c>
      <c r="N312" s="6">
        <v>71822.22</v>
      </c>
      <c r="O312" t="s">
        <v>27</v>
      </c>
    </row>
    <row r="313" spans="1:15" x14ac:dyDescent="0.25">
      <c r="A313" t="s">
        <v>375</v>
      </c>
      <c r="B313" s="5">
        <v>45889</v>
      </c>
      <c r="C313" t="s">
        <v>45</v>
      </c>
      <c r="D313" t="s">
        <v>30</v>
      </c>
      <c r="E313" t="s">
        <v>25</v>
      </c>
      <c r="F313" t="s">
        <v>26</v>
      </c>
      <c r="G313" t="s">
        <v>41</v>
      </c>
      <c r="H313" t="s">
        <v>42</v>
      </c>
      <c r="I313">
        <v>5</v>
      </c>
      <c r="J313" s="6">
        <v>10111</v>
      </c>
      <c r="K313" s="3">
        <v>0.15</v>
      </c>
      <c r="L313" s="6">
        <v>42971.75</v>
      </c>
      <c r="M313" s="6">
        <v>34144.21</v>
      </c>
      <c r="N313" s="6">
        <v>8827.5400000000009</v>
      </c>
      <c r="O313" t="s">
        <v>74</v>
      </c>
    </row>
    <row r="314" spans="1:15" x14ac:dyDescent="0.25">
      <c r="A314" t="s">
        <v>376</v>
      </c>
      <c r="B314" s="5">
        <v>45890</v>
      </c>
      <c r="C314" t="s">
        <v>16</v>
      </c>
      <c r="D314" t="s">
        <v>17</v>
      </c>
      <c r="E314" t="s">
        <v>18</v>
      </c>
      <c r="F314" t="s">
        <v>32</v>
      </c>
      <c r="G314" t="s">
        <v>82</v>
      </c>
      <c r="H314" t="s">
        <v>21</v>
      </c>
      <c r="I314">
        <v>5</v>
      </c>
      <c r="J314" s="6">
        <v>1190</v>
      </c>
      <c r="K314" s="3">
        <v>0.15</v>
      </c>
      <c r="L314" s="6">
        <v>5057.5</v>
      </c>
      <c r="M314" s="6">
        <v>4027.08</v>
      </c>
      <c r="N314" s="6">
        <v>1030.42</v>
      </c>
      <c r="O314" t="s">
        <v>74</v>
      </c>
    </row>
    <row r="315" spans="1:15" x14ac:dyDescent="0.25">
      <c r="A315" t="s">
        <v>377</v>
      </c>
      <c r="B315" s="5">
        <v>45890</v>
      </c>
      <c r="C315" t="s">
        <v>88</v>
      </c>
      <c r="D315" t="s">
        <v>39</v>
      </c>
      <c r="E315" t="s">
        <v>36</v>
      </c>
      <c r="F315" t="s">
        <v>26</v>
      </c>
      <c r="G315" t="s">
        <v>77</v>
      </c>
      <c r="H315" t="s">
        <v>53</v>
      </c>
      <c r="I315">
        <v>7</v>
      </c>
      <c r="J315" s="6">
        <v>18303</v>
      </c>
      <c r="K315" s="3">
        <v>0.1</v>
      </c>
      <c r="L315" s="6">
        <v>115308.9</v>
      </c>
      <c r="M315" s="6">
        <v>83334.12</v>
      </c>
      <c r="N315" s="6">
        <v>31974.78</v>
      </c>
      <c r="O315" t="s">
        <v>27</v>
      </c>
    </row>
    <row r="316" spans="1:15" x14ac:dyDescent="0.25">
      <c r="A316" t="s">
        <v>378</v>
      </c>
      <c r="B316" s="5">
        <v>45891</v>
      </c>
      <c r="C316" t="s">
        <v>67</v>
      </c>
      <c r="D316" t="s">
        <v>39</v>
      </c>
      <c r="E316" t="s">
        <v>40</v>
      </c>
      <c r="F316" t="s">
        <v>32</v>
      </c>
      <c r="G316" t="s">
        <v>20</v>
      </c>
      <c r="H316" t="s">
        <v>21</v>
      </c>
      <c r="I316">
        <v>2</v>
      </c>
      <c r="J316" s="6">
        <v>2406</v>
      </c>
      <c r="K316" s="3">
        <v>0</v>
      </c>
      <c r="L316" s="6">
        <v>4812</v>
      </c>
      <c r="M316" s="6">
        <v>3403.66</v>
      </c>
      <c r="N316" s="6">
        <v>1408.34</v>
      </c>
      <c r="O316" t="s">
        <v>22</v>
      </c>
    </row>
    <row r="317" spans="1:15" x14ac:dyDescent="0.25">
      <c r="A317" t="s">
        <v>379</v>
      </c>
      <c r="B317" s="5">
        <v>45894</v>
      </c>
      <c r="C317" t="s">
        <v>38</v>
      </c>
      <c r="D317" t="s">
        <v>48</v>
      </c>
      <c r="E317" t="s">
        <v>36</v>
      </c>
      <c r="F317" t="s">
        <v>19</v>
      </c>
      <c r="G317" t="s">
        <v>77</v>
      </c>
      <c r="H317" t="s">
        <v>53</v>
      </c>
      <c r="I317">
        <v>1</v>
      </c>
      <c r="J317" s="6">
        <v>16515</v>
      </c>
      <c r="K317" s="3">
        <v>0.15</v>
      </c>
      <c r="L317" s="6">
        <v>14037.75</v>
      </c>
      <c r="M317" s="6">
        <v>10132.959999999999</v>
      </c>
      <c r="N317" s="6">
        <v>3904.79</v>
      </c>
      <c r="O317" t="s">
        <v>27</v>
      </c>
    </row>
    <row r="318" spans="1:15" x14ac:dyDescent="0.25">
      <c r="A318" t="s">
        <v>380</v>
      </c>
      <c r="B318" s="5">
        <v>45894</v>
      </c>
      <c r="C318" t="s">
        <v>96</v>
      </c>
      <c r="D318" t="s">
        <v>30</v>
      </c>
      <c r="E318" t="s">
        <v>31</v>
      </c>
      <c r="F318" t="s">
        <v>26</v>
      </c>
      <c r="G318" t="s">
        <v>82</v>
      </c>
      <c r="H318" t="s">
        <v>21</v>
      </c>
      <c r="I318">
        <v>8</v>
      </c>
      <c r="J318" s="6">
        <v>1221</v>
      </c>
      <c r="K318" s="3">
        <v>0.1</v>
      </c>
      <c r="L318" s="6">
        <v>8791.2000000000007</v>
      </c>
      <c r="M318" s="6">
        <v>6926.67</v>
      </c>
      <c r="N318" s="6">
        <v>1864.53</v>
      </c>
      <c r="O318" t="s">
        <v>43</v>
      </c>
    </row>
    <row r="319" spans="1:15" x14ac:dyDescent="0.25">
      <c r="A319" t="s">
        <v>381</v>
      </c>
      <c r="B319" s="5">
        <v>45894</v>
      </c>
      <c r="C319" t="s">
        <v>38</v>
      </c>
      <c r="D319" t="s">
        <v>17</v>
      </c>
      <c r="E319" t="s">
        <v>40</v>
      </c>
      <c r="F319" t="s">
        <v>19</v>
      </c>
      <c r="G319" t="s">
        <v>86</v>
      </c>
      <c r="H319" t="s">
        <v>42</v>
      </c>
      <c r="I319">
        <v>1</v>
      </c>
      <c r="J319" s="6">
        <v>11253</v>
      </c>
      <c r="K319" s="3">
        <v>0.15</v>
      </c>
      <c r="L319" s="6">
        <v>9565.0499999999993</v>
      </c>
      <c r="M319" s="6">
        <v>7202.84</v>
      </c>
      <c r="N319" s="6">
        <v>2362.21</v>
      </c>
      <c r="O319" t="s">
        <v>58</v>
      </c>
    </row>
    <row r="320" spans="1:15" x14ac:dyDescent="0.25">
      <c r="A320" t="s">
        <v>382</v>
      </c>
      <c r="B320" s="5">
        <v>45896</v>
      </c>
      <c r="C320" t="s">
        <v>67</v>
      </c>
      <c r="D320" t="s">
        <v>30</v>
      </c>
      <c r="E320" t="s">
        <v>57</v>
      </c>
      <c r="F320" t="s">
        <v>19</v>
      </c>
      <c r="G320" t="s">
        <v>52</v>
      </c>
      <c r="H320" t="s">
        <v>53</v>
      </c>
      <c r="I320">
        <v>2</v>
      </c>
      <c r="J320" s="6">
        <v>65516</v>
      </c>
      <c r="K320" s="3">
        <v>0.1</v>
      </c>
      <c r="L320" s="6">
        <v>117928.8</v>
      </c>
      <c r="M320" s="6">
        <v>88251.64</v>
      </c>
      <c r="N320" s="6">
        <v>29677.16</v>
      </c>
      <c r="O320" t="s">
        <v>58</v>
      </c>
    </row>
    <row r="321" spans="1:15" x14ac:dyDescent="0.25">
      <c r="A321" t="s">
        <v>383</v>
      </c>
      <c r="B321" s="5">
        <v>45896</v>
      </c>
      <c r="C321" t="s">
        <v>51</v>
      </c>
      <c r="D321" t="s">
        <v>39</v>
      </c>
      <c r="E321" t="s">
        <v>36</v>
      </c>
      <c r="F321" t="s">
        <v>19</v>
      </c>
      <c r="G321" t="s">
        <v>77</v>
      </c>
      <c r="H321" t="s">
        <v>53</v>
      </c>
      <c r="I321">
        <v>2</v>
      </c>
      <c r="J321" s="6">
        <v>17474</v>
      </c>
      <c r="K321" s="3">
        <v>0.05</v>
      </c>
      <c r="L321" s="6">
        <v>33200.6</v>
      </c>
      <c r="M321" s="6">
        <v>20686.34</v>
      </c>
      <c r="N321" s="6">
        <v>12514.26</v>
      </c>
      <c r="O321" t="s">
        <v>74</v>
      </c>
    </row>
    <row r="322" spans="1:15" x14ac:dyDescent="0.25">
      <c r="A322" t="s">
        <v>384</v>
      </c>
      <c r="B322" s="5">
        <v>45896</v>
      </c>
      <c r="C322" t="s">
        <v>35</v>
      </c>
      <c r="D322" t="s">
        <v>30</v>
      </c>
      <c r="E322" t="s">
        <v>40</v>
      </c>
      <c r="F322" t="s">
        <v>32</v>
      </c>
      <c r="G322" t="s">
        <v>86</v>
      </c>
      <c r="H322" t="s">
        <v>42</v>
      </c>
      <c r="I322">
        <v>8</v>
      </c>
      <c r="J322" s="6">
        <v>13123</v>
      </c>
      <c r="K322" s="3">
        <v>0</v>
      </c>
      <c r="L322" s="6">
        <v>104984</v>
      </c>
      <c r="M322" s="6">
        <v>77964.259999999995</v>
      </c>
      <c r="N322" s="6">
        <v>27019.74</v>
      </c>
      <c r="O322" t="s">
        <v>22</v>
      </c>
    </row>
    <row r="323" spans="1:15" x14ac:dyDescent="0.25">
      <c r="A323" t="s">
        <v>385</v>
      </c>
      <c r="B323" s="5">
        <v>45896</v>
      </c>
      <c r="C323" t="s">
        <v>72</v>
      </c>
      <c r="D323" t="s">
        <v>17</v>
      </c>
      <c r="E323" t="s">
        <v>25</v>
      </c>
      <c r="F323" t="s">
        <v>32</v>
      </c>
      <c r="G323" t="s">
        <v>64</v>
      </c>
      <c r="H323" t="s">
        <v>53</v>
      </c>
      <c r="I323">
        <v>1</v>
      </c>
      <c r="J323" s="6">
        <v>27804</v>
      </c>
      <c r="K323" s="3">
        <v>0.15</v>
      </c>
      <c r="L323" s="6">
        <v>23633.4</v>
      </c>
      <c r="M323" s="6">
        <v>14504.45</v>
      </c>
      <c r="N323" s="6">
        <v>9128.9500000000007</v>
      </c>
      <c r="O323" t="s">
        <v>43</v>
      </c>
    </row>
    <row r="324" spans="1:15" x14ac:dyDescent="0.25">
      <c r="A324" t="s">
        <v>386</v>
      </c>
      <c r="B324" s="5">
        <v>45900</v>
      </c>
      <c r="C324" t="s">
        <v>88</v>
      </c>
      <c r="D324" t="s">
        <v>39</v>
      </c>
      <c r="E324" t="s">
        <v>25</v>
      </c>
      <c r="F324" t="s">
        <v>32</v>
      </c>
      <c r="G324" t="s">
        <v>20</v>
      </c>
      <c r="H324" t="s">
        <v>21</v>
      </c>
      <c r="I324">
        <v>2</v>
      </c>
      <c r="J324" s="6">
        <v>2706</v>
      </c>
      <c r="K324" s="3">
        <v>0.05</v>
      </c>
      <c r="L324" s="6">
        <v>5141.3999999999996</v>
      </c>
      <c r="M324" s="6">
        <v>3789.48</v>
      </c>
      <c r="N324" s="6">
        <v>1351.92</v>
      </c>
      <c r="O324" t="s">
        <v>58</v>
      </c>
    </row>
    <row r="325" spans="1:15" x14ac:dyDescent="0.25">
      <c r="A325" t="s">
        <v>387</v>
      </c>
      <c r="B325" s="5">
        <v>45902</v>
      </c>
      <c r="C325" t="s">
        <v>29</v>
      </c>
      <c r="D325" t="s">
        <v>17</v>
      </c>
      <c r="E325" t="s">
        <v>31</v>
      </c>
      <c r="F325" t="s">
        <v>26</v>
      </c>
      <c r="G325" t="s">
        <v>107</v>
      </c>
      <c r="H325" t="s">
        <v>108</v>
      </c>
      <c r="I325">
        <v>6</v>
      </c>
      <c r="J325" s="6">
        <v>13969</v>
      </c>
      <c r="K325" s="3">
        <v>0.1</v>
      </c>
      <c r="L325" s="6">
        <v>75432.600000000006</v>
      </c>
      <c r="M325" s="6">
        <v>57148.29</v>
      </c>
      <c r="N325" s="6">
        <v>18284.310000000001</v>
      </c>
      <c r="O325" t="s">
        <v>74</v>
      </c>
    </row>
    <row r="326" spans="1:15" x14ac:dyDescent="0.25">
      <c r="A326" t="s">
        <v>388</v>
      </c>
      <c r="B326" s="5">
        <v>45903</v>
      </c>
      <c r="C326" t="s">
        <v>72</v>
      </c>
      <c r="D326" t="s">
        <v>39</v>
      </c>
      <c r="E326" t="s">
        <v>57</v>
      </c>
      <c r="F326" t="s">
        <v>19</v>
      </c>
      <c r="G326" t="s">
        <v>62</v>
      </c>
      <c r="H326" t="s">
        <v>21</v>
      </c>
      <c r="I326">
        <v>6</v>
      </c>
      <c r="J326" s="6">
        <v>3703</v>
      </c>
      <c r="K326" s="3">
        <v>0</v>
      </c>
      <c r="L326" s="6">
        <v>22218</v>
      </c>
      <c r="M326" s="6">
        <v>17212.87</v>
      </c>
      <c r="N326" s="6">
        <v>5005.13</v>
      </c>
      <c r="O326" t="s">
        <v>43</v>
      </c>
    </row>
    <row r="327" spans="1:15" x14ac:dyDescent="0.25">
      <c r="A327" t="s">
        <v>389</v>
      </c>
      <c r="B327" s="5">
        <v>45904</v>
      </c>
      <c r="C327" t="s">
        <v>51</v>
      </c>
      <c r="D327" t="s">
        <v>39</v>
      </c>
      <c r="E327" t="s">
        <v>36</v>
      </c>
      <c r="F327" t="s">
        <v>32</v>
      </c>
      <c r="G327" t="s">
        <v>33</v>
      </c>
      <c r="H327" t="s">
        <v>21</v>
      </c>
      <c r="I327">
        <v>3</v>
      </c>
      <c r="J327" s="6">
        <v>4280</v>
      </c>
      <c r="K327" s="3">
        <v>0.1</v>
      </c>
      <c r="L327" s="6">
        <v>11556</v>
      </c>
      <c r="M327" s="6">
        <v>7141.04</v>
      </c>
      <c r="N327" s="6">
        <v>4414.96</v>
      </c>
      <c r="O327" t="s">
        <v>43</v>
      </c>
    </row>
    <row r="328" spans="1:15" x14ac:dyDescent="0.25">
      <c r="A328" t="s">
        <v>390</v>
      </c>
      <c r="B328" s="5">
        <v>45904</v>
      </c>
      <c r="C328" t="s">
        <v>29</v>
      </c>
      <c r="D328" t="s">
        <v>30</v>
      </c>
      <c r="E328" t="s">
        <v>18</v>
      </c>
      <c r="F328" t="s">
        <v>19</v>
      </c>
      <c r="G328" t="s">
        <v>41</v>
      </c>
      <c r="H328" t="s">
        <v>42</v>
      </c>
      <c r="I328">
        <v>5</v>
      </c>
      <c r="J328" s="6">
        <v>9915</v>
      </c>
      <c r="K328" s="3">
        <v>0.1</v>
      </c>
      <c r="L328" s="6">
        <v>44617.5</v>
      </c>
      <c r="M328" s="6">
        <v>31825.01</v>
      </c>
      <c r="N328" s="6">
        <v>12792.49</v>
      </c>
      <c r="O328" t="s">
        <v>74</v>
      </c>
    </row>
    <row r="329" spans="1:15" x14ac:dyDescent="0.25">
      <c r="A329" t="s">
        <v>391</v>
      </c>
      <c r="B329" s="5">
        <v>45904</v>
      </c>
      <c r="C329" t="s">
        <v>29</v>
      </c>
      <c r="D329" t="s">
        <v>30</v>
      </c>
      <c r="E329" t="s">
        <v>36</v>
      </c>
      <c r="F329" t="s">
        <v>26</v>
      </c>
      <c r="G329" t="s">
        <v>20</v>
      </c>
      <c r="H329" t="s">
        <v>21</v>
      </c>
      <c r="I329">
        <v>3</v>
      </c>
      <c r="J329" s="6">
        <v>2259</v>
      </c>
      <c r="K329" s="3">
        <v>0.1</v>
      </c>
      <c r="L329" s="6">
        <v>6099.3</v>
      </c>
      <c r="M329" s="6">
        <v>4997.74</v>
      </c>
      <c r="N329" s="6">
        <v>1101.56</v>
      </c>
      <c r="O329" t="s">
        <v>43</v>
      </c>
    </row>
    <row r="330" spans="1:15" x14ac:dyDescent="0.25">
      <c r="A330" t="s">
        <v>392</v>
      </c>
      <c r="B330" s="5">
        <v>45905</v>
      </c>
      <c r="C330" t="s">
        <v>96</v>
      </c>
      <c r="D330" t="s">
        <v>39</v>
      </c>
      <c r="E330" t="s">
        <v>36</v>
      </c>
      <c r="F330" t="s">
        <v>26</v>
      </c>
      <c r="G330" t="s">
        <v>107</v>
      </c>
      <c r="H330" t="s">
        <v>108</v>
      </c>
      <c r="I330">
        <v>4</v>
      </c>
      <c r="J330" s="6">
        <v>15603</v>
      </c>
      <c r="K330" s="3">
        <v>0.1</v>
      </c>
      <c r="L330" s="6">
        <v>56170.8</v>
      </c>
      <c r="M330" s="6">
        <v>38746.25</v>
      </c>
      <c r="N330" s="6">
        <v>17424.55</v>
      </c>
      <c r="O330" t="s">
        <v>74</v>
      </c>
    </row>
    <row r="331" spans="1:15" x14ac:dyDescent="0.25">
      <c r="A331" t="s">
        <v>393</v>
      </c>
      <c r="B331" s="5">
        <v>45905</v>
      </c>
      <c r="C331" t="s">
        <v>51</v>
      </c>
      <c r="D331" t="s">
        <v>48</v>
      </c>
      <c r="E331" t="s">
        <v>18</v>
      </c>
      <c r="F331" t="s">
        <v>32</v>
      </c>
      <c r="G331" t="s">
        <v>86</v>
      </c>
      <c r="H331" t="s">
        <v>42</v>
      </c>
      <c r="I331">
        <v>2</v>
      </c>
      <c r="J331" s="6">
        <v>12955</v>
      </c>
      <c r="K331" s="3">
        <v>0</v>
      </c>
      <c r="L331" s="6">
        <v>25910</v>
      </c>
      <c r="M331" s="6">
        <v>17786.77</v>
      </c>
      <c r="N331" s="6">
        <v>8123.23</v>
      </c>
      <c r="O331" t="s">
        <v>58</v>
      </c>
    </row>
    <row r="332" spans="1:15" x14ac:dyDescent="0.25">
      <c r="A332" t="s">
        <v>394</v>
      </c>
      <c r="B332" s="5">
        <v>45906</v>
      </c>
      <c r="C332" t="s">
        <v>60</v>
      </c>
      <c r="D332" t="s">
        <v>48</v>
      </c>
      <c r="E332" t="s">
        <v>25</v>
      </c>
      <c r="F332" t="s">
        <v>19</v>
      </c>
      <c r="G332" t="s">
        <v>20</v>
      </c>
      <c r="H332" t="s">
        <v>21</v>
      </c>
      <c r="I332">
        <v>7</v>
      </c>
      <c r="J332" s="6">
        <v>2662</v>
      </c>
      <c r="K332" s="3">
        <v>0</v>
      </c>
      <c r="L332" s="6">
        <v>18634</v>
      </c>
      <c r="M332" s="6">
        <v>12554.21</v>
      </c>
      <c r="N332" s="6">
        <v>6079.79</v>
      </c>
      <c r="O332" t="s">
        <v>43</v>
      </c>
    </row>
    <row r="333" spans="1:15" x14ac:dyDescent="0.25">
      <c r="A333" t="s">
        <v>395</v>
      </c>
      <c r="B333" s="5">
        <v>45906</v>
      </c>
      <c r="C333" t="s">
        <v>45</v>
      </c>
      <c r="D333" t="s">
        <v>17</v>
      </c>
      <c r="E333" t="s">
        <v>36</v>
      </c>
      <c r="F333" t="s">
        <v>19</v>
      </c>
      <c r="G333" t="s">
        <v>82</v>
      </c>
      <c r="H333" t="s">
        <v>21</v>
      </c>
      <c r="I333">
        <v>2</v>
      </c>
      <c r="J333" s="6">
        <v>1181</v>
      </c>
      <c r="K333" s="3">
        <v>0.1</v>
      </c>
      <c r="L333" s="6">
        <v>2125.8000000000002</v>
      </c>
      <c r="M333" s="6">
        <v>1544.83</v>
      </c>
      <c r="N333" s="6">
        <v>580.97</v>
      </c>
      <c r="O333" t="s">
        <v>74</v>
      </c>
    </row>
    <row r="334" spans="1:15" x14ac:dyDescent="0.25">
      <c r="A334" t="s">
        <v>396</v>
      </c>
      <c r="B334" s="5">
        <v>45907</v>
      </c>
      <c r="C334" t="s">
        <v>29</v>
      </c>
      <c r="D334" t="s">
        <v>17</v>
      </c>
      <c r="E334" t="s">
        <v>46</v>
      </c>
      <c r="F334" t="s">
        <v>19</v>
      </c>
      <c r="G334" t="s">
        <v>77</v>
      </c>
      <c r="H334" t="s">
        <v>53</v>
      </c>
      <c r="I334">
        <v>6</v>
      </c>
      <c r="J334" s="6">
        <v>18980</v>
      </c>
      <c r="K334" s="3">
        <v>0.1</v>
      </c>
      <c r="L334" s="6">
        <v>102492</v>
      </c>
      <c r="M334" s="6">
        <v>80710.39</v>
      </c>
      <c r="N334" s="6">
        <v>21781.61</v>
      </c>
      <c r="O334" t="s">
        <v>58</v>
      </c>
    </row>
    <row r="335" spans="1:15" x14ac:dyDescent="0.25">
      <c r="A335" t="s">
        <v>397</v>
      </c>
      <c r="B335" s="5">
        <v>45907</v>
      </c>
      <c r="C335" t="s">
        <v>67</v>
      </c>
      <c r="D335" t="s">
        <v>30</v>
      </c>
      <c r="E335" t="s">
        <v>18</v>
      </c>
      <c r="F335" t="s">
        <v>32</v>
      </c>
      <c r="G335" t="s">
        <v>82</v>
      </c>
      <c r="H335" t="s">
        <v>21</v>
      </c>
      <c r="I335">
        <v>7</v>
      </c>
      <c r="J335" s="6">
        <v>1221</v>
      </c>
      <c r="K335" s="3">
        <v>0.15</v>
      </c>
      <c r="L335" s="6">
        <v>7264.95</v>
      </c>
      <c r="M335" s="6">
        <v>5355.47</v>
      </c>
      <c r="N335" s="6">
        <v>1909.48</v>
      </c>
      <c r="O335" t="s">
        <v>74</v>
      </c>
    </row>
    <row r="336" spans="1:15" x14ac:dyDescent="0.25">
      <c r="A336" t="s">
        <v>398</v>
      </c>
      <c r="B336" s="5">
        <v>45908</v>
      </c>
      <c r="C336" t="s">
        <v>29</v>
      </c>
      <c r="D336" t="s">
        <v>39</v>
      </c>
      <c r="E336" t="s">
        <v>46</v>
      </c>
      <c r="F336" t="s">
        <v>32</v>
      </c>
      <c r="G336" t="s">
        <v>64</v>
      </c>
      <c r="H336" t="s">
        <v>53</v>
      </c>
      <c r="I336">
        <v>1</v>
      </c>
      <c r="J336" s="6">
        <v>26776</v>
      </c>
      <c r="K336" s="3">
        <v>0.15</v>
      </c>
      <c r="L336" s="6">
        <v>22759.599999999999</v>
      </c>
      <c r="M336" s="6">
        <v>14219.46</v>
      </c>
      <c r="N336" s="6">
        <v>8540.14</v>
      </c>
      <c r="O336" t="s">
        <v>74</v>
      </c>
    </row>
    <row r="337" spans="1:15" x14ac:dyDescent="0.25">
      <c r="A337" t="s">
        <v>399</v>
      </c>
      <c r="B337" s="5">
        <v>45908</v>
      </c>
      <c r="C337" t="s">
        <v>24</v>
      </c>
      <c r="D337" t="s">
        <v>39</v>
      </c>
      <c r="E337" t="s">
        <v>49</v>
      </c>
      <c r="F337" t="s">
        <v>32</v>
      </c>
      <c r="G337" t="s">
        <v>33</v>
      </c>
      <c r="H337" t="s">
        <v>21</v>
      </c>
      <c r="I337">
        <v>3</v>
      </c>
      <c r="J337" s="6">
        <v>4947</v>
      </c>
      <c r="K337" s="3">
        <v>0</v>
      </c>
      <c r="L337" s="6">
        <v>14841</v>
      </c>
      <c r="M337" s="6">
        <v>10405.370000000001</v>
      </c>
      <c r="N337" s="6">
        <v>4435.63</v>
      </c>
      <c r="O337" t="s">
        <v>74</v>
      </c>
    </row>
    <row r="338" spans="1:15" x14ac:dyDescent="0.25">
      <c r="A338" t="s">
        <v>400</v>
      </c>
      <c r="B338" s="5">
        <v>45911</v>
      </c>
      <c r="C338" t="s">
        <v>45</v>
      </c>
      <c r="D338" t="s">
        <v>39</v>
      </c>
      <c r="E338" t="s">
        <v>25</v>
      </c>
      <c r="F338" t="s">
        <v>19</v>
      </c>
      <c r="G338" t="s">
        <v>41</v>
      </c>
      <c r="H338" t="s">
        <v>42</v>
      </c>
      <c r="I338">
        <v>2</v>
      </c>
      <c r="J338" s="6">
        <v>9688</v>
      </c>
      <c r="K338" s="3">
        <v>0.1</v>
      </c>
      <c r="L338" s="6">
        <v>17438.400000000001</v>
      </c>
      <c r="M338" s="6">
        <v>10551.02</v>
      </c>
      <c r="N338" s="6">
        <v>6887.38</v>
      </c>
      <c r="O338" t="s">
        <v>58</v>
      </c>
    </row>
    <row r="339" spans="1:15" x14ac:dyDescent="0.25">
      <c r="A339" t="s">
        <v>401</v>
      </c>
      <c r="B339" s="5">
        <v>45912</v>
      </c>
      <c r="C339" t="s">
        <v>91</v>
      </c>
      <c r="D339" t="s">
        <v>48</v>
      </c>
      <c r="E339" t="s">
        <v>31</v>
      </c>
      <c r="F339" t="s">
        <v>19</v>
      </c>
      <c r="G339" t="s">
        <v>41</v>
      </c>
      <c r="H339" t="s">
        <v>42</v>
      </c>
      <c r="I339">
        <v>6</v>
      </c>
      <c r="J339" s="6">
        <v>9194</v>
      </c>
      <c r="K339" s="3">
        <v>0.1</v>
      </c>
      <c r="L339" s="6">
        <v>49647.6</v>
      </c>
      <c r="M339" s="6">
        <v>39481.82</v>
      </c>
      <c r="N339" s="6">
        <v>10165.780000000001</v>
      </c>
      <c r="O339" t="s">
        <v>58</v>
      </c>
    </row>
    <row r="340" spans="1:15" x14ac:dyDescent="0.25">
      <c r="A340" t="s">
        <v>402</v>
      </c>
      <c r="B340" s="5">
        <v>45913</v>
      </c>
      <c r="C340" t="s">
        <v>16</v>
      </c>
      <c r="D340" t="s">
        <v>48</v>
      </c>
      <c r="E340" t="s">
        <v>18</v>
      </c>
      <c r="F340" t="s">
        <v>26</v>
      </c>
      <c r="G340" t="s">
        <v>52</v>
      </c>
      <c r="H340" t="s">
        <v>53</v>
      </c>
      <c r="I340">
        <v>3</v>
      </c>
      <c r="J340" s="6">
        <v>69486</v>
      </c>
      <c r="K340" s="3">
        <v>0.15</v>
      </c>
      <c r="L340" s="6">
        <v>177189.3</v>
      </c>
      <c r="M340" s="6">
        <v>113140.17</v>
      </c>
      <c r="N340" s="6">
        <v>64049.13</v>
      </c>
      <c r="O340" t="s">
        <v>22</v>
      </c>
    </row>
    <row r="341" spans="1:15" x14ac:dyDescent="0.25">
      <c r="A341" t="s">
        <v>403</v>
      </c>
      <c r="B341" s="5">
        <v>45913</v>
      </c>
      <c r="C341" t="s">
        <v>45</v>
      </c>
      <c r="D341" t="s">
        <v>17</v>
      </c>
      <c r="E341" t="s">
        <v>57</v>
      </c>
      <c r="F341" t="s">
        <v>19</v>
      </c>
      <c r="G341" t="s">
        <v>20</v>
      </c>
      <c r="H341" t="s">
        <v>21</v>
      </c>
      <c r="I341">
        <v>8</v>
      </c>
      <c r="J341" s="6">
        <v>2436</v>
      </c>
      <c r="K341" s="3">
        <v>0.05</v>
      </c>
      <c r="L341" s="6">
        <v>18513.599999999999</v>
      </c>
      <c r="M341" s="6">
        <v>14546.63</v>
      </c>
      <c r="N341" s="6">
        <v>3966.97</v>
      </c>
      <c r="O341" t="s">
        <v>27</v>
      </c>
    </row>
    <row r="342" spans="1:15" x14ac:dyDescent="0.25">
      <c r="A342" t="s">
        <v>404</v>
      </c>
      <c r="B342" s="5">
        <v>45913</v>
      </c>
      <c r="C342" t="s">
        <v>38</v>
      </c>
      <c r="D342" t="s">
        <v>39</v>
      </c>
      <c r="E342" t="s">
        <v>46</v>
      </c>
      <c r="F342" t="s">
        <v>26</v>
      </c>
      <c r="G342" t="s">
        <v>62</v>
      </c>
      <c r="H342" t="s">
        <v>21</v>
      </c>
      <c r="I342">
        <v>7</v>
      </c>
      <c r="J342" s="6">
        <v>3793</v>
      </c>
      <c r="K342" s="3">
        <v>0</v>
      </c>
      <c r="L342" s="6">
        <v>26551</v>
      </c>
      <c r="M342" s="6">
        <v>21051.37</v>
      </c>
      <c r="N342" s="6">
        <v>5499.63</v>
      </c>
      <c r="O342" t="s">
        <v>74</v>
      </c>
    </row>
    <row r="343" spans="1:15" x14ac:dyDescent="0.25">
      <c r="A343" t="s">
        <v>405</v>
      </c>
      <c r="B343" s="5">
        <v>45913</v>
      </c>
      <c r="C343" t="s">
        <v>79</v>
      </c>
      <c r="D343" t="s">
        <v>30</v>
      </c>
      <c r="E343" t="s">
        <v>18</v>
      </c>
      <c r="F343" t="s">
        <v>19</v>
      </c>
      <c r="G343" t="s">
        <v>33</v>
      </c>
      <c r="H343" t="s">
        <v>21</v>
      </c>
      <c r="I343">
        <v>1</v>
      </c>
      <c r="J343" s="6">
        <v>4567</v>
      </c>
      <c r="K343" s="3">
        <v>0.1</v>
      </c>
      <c r="L343" s="6">
        <v>4110.3</v>
      </c>
      <c r="M343" s="6">
        <v>2749.87</v>
      </c>
      <c r="N343" s="6">
        <v>1360.43</v>
      </c>
      <c r="O343" t="s">
        <v>22</v>
      </c>
    </row>
    <row r="344" spans="1:15" x14ac:dyDescent="0.25">
      <c r="A344" t="s">
        <v>406</v>
      </c>
      <c r="B344" s="5">
        <v>45913</v>
      </c>
      <c r="C344" t="s">
        <v>91</v>
      </c>
      <c r="D344" t="s">
        <v>17</v>
      </c>
      <c r="E344" t="s">
        <v>18</v>
      </c>
      <c r="F344" t="s">
        <v>19</v>
      </c>
      <c r="G344" t="s">
        <v>86</v>
      </c>
      <c r="H344" t="s">
        <v>42</v>
      </c>
      <c r="I344">
        <v>2</v>
      </c>
      <c r="J344" s="6">
        <v>12866</v>
      </c>
      <c r="K344" s="3">
        <v>0.05</v>
      </c>
      <c r="L344" s="6">
        <v>24445.4</v>
      </c>
      <c r="M344" s="6">
        <v>19908.34</v>
      </c>
      <c r="N344" s="6">
        <v>4537.0600000000004</v>
      </c>
      <c r="O344" t="s">
        <v>58</v>
      </c>
    </row>
    <row r="345" spans="1:15" x14ac:dyDescent="0.25">
      <c r="A345" t="s">
        <v>407</v>
      </c>
      <c r="B345" s="5">
        <v>45914</v>
      </c>
      <c r="C345" t="s">
        <v>79</v>
      </c>
      <c r="D345" t="s">
        <v>39</v>
      </c>
      <c r="E345" t="s">
        <v>36</v>
      </c>
      <c r="F345" t="s">
        <v>19</v>
      </c>
      <c r="G345" t="s">
        <v>62</v>
      </c>
      <c r="H345" t="s">
        <v>21</v>
      </c>
      <c r="I345">
        <v>7</v>
      </c>
      <c r="J345" s="6">
        <v>3334</v>
      </c>
      <c r="K345" s="3">
        <v>0.05</v>
      </c>
      <c r="L345" s="6">
        <v>22171.1</v>
      </c>
      <c r="M345" s="6">
        <v>17636.27</v>
      </c>
      <c r="N345" s="6">
        <v>4534.83</v>
      </c>
      <c r="O345" t="s">
        <v>27</v>
      </c>
    </row>
    <row r="346" spans="1:15" x14ac:dyDescent="0.25">
      <c r="A346" t="s">
        <v>408</v>
      </c>
      <c r="B346" s="5">
        <v>45914</v>
      </c>
      <c r="C346" t="s">
        <v>96</v>
      </c>
      <c r="D346" t="s">
        <v>48</v>
      </c>
      <c r="E346" t="s">
        <v>57</v>
      </c>
      <c r="F346" t="s">
        <v>26</v>
      </c>
      <c r="G346" t="s">
        <v>62</v>
      </c>
      <c r="H346" t="s">
        <v>21</v>
      </c>
      <c r="I346">
        <v>5</v>
      </c>
      <c r="J346" s="6">
        <v>3265</v>
      </c>
      <c r="K346" s="3">
        <v>0</v>
      </c>
      <c r="L346" s="6">
        <v>16325</v>
      </c>
      <c r="M346" s="6">
        <v>12802.85</v>
      </c>
      <c r="N346" s="6">
        <v>3522.15</v>
      </c>
      <c r="O346" t="s">
        <v>58</v>
      </c>
    </row>
    <row r="347" spans="1:15" x14ac:dyDescent="0.25">
      <c r="A347" t="s">
        <v>409</v>
      </c>
      <c r="B347" s="5">
        <v>45915</v>
      </c>
      <c r="C347" t="s">
        <v>96</v>
      </c>
      <c r="D347" t="s">
        <v>17</v>
      </c>
      <c r="E347" t="s">
        <v>25</v>
      </c>
      <c r="F347" t="s">
        <v>19</v>
      </c>
      <c r="G347" t="s">
        <v>64</v>
      </c>
      <c r="H347" t="s">
        <v>53</v>
      </c>
      <c r="I347">
        <v>2</v>
      </c>
      <c r="J347" s="6">
        <v>26807</v>
      </c>
      <c r="K347" s="3">
        <v>0.1</v>
      </c>
      <c r="L347" s="6">
        <v>48252.6</v>
      </c>
      <c r="M347" s="6">
        <v>39367.410000000003</v>
      </c>
      <c r="N347" s="6">
        <v>8885.19</v>
      </c>
      <c r="O347" t="s">
        <v>43</v>
      </c>
    </row>
    <row r="348" spans="1:15" x14ac:dyDescent="0.25">
      <c r="A348" t="s">
        <v>410</v>
      </c>
      <c r="B348" s="5">
        <v>45915</v>
      </c>
      <c r="C348" t="s">
        <v>38</v>
      </c>
      <c r="D348" t="s">
        <v>30</v>
      </c>
      <c r="E348" t="s">
        <v>49</v>
      </c>
      <c r="F348" t="s">
        <v>32</v>
      </c>
      <c r="G348" t="s">
        <v>82</v>
      </c>
      <c r="H348" t="s">
        <v>21</v>
      </c>
      <c r="I348">
        <v>1</v>
      </c>
      <c r="J348" s="6">
        <v>1108</v>
      </c>
      <c r="K348" s="3">
        <v>0.05</v>
      </c>
      <c r="L348" s="6">
        <v>1052.5999999999999</v>
      </c>
      <c r="M348" s="6">
        <v>773.34</v>
      </c>
      <c r="N348" s="6">
        <v>279.26</v>
      </c>
      <c r="O348" t="s">
        <v>58</v>
      </c>
    </row>
    <row r="349" spans="1:15" x14ac:dyDescent="0.25">
      <c r="A349" t="s">
        <v>411</v>
      </c>
      <c r="B349" s="5">
        <v>45915</v>
      </c>
      <c r="C349" t="s">
        <v>38</v>
      </c>
      <c r="D349" t="s">
        <v>17</v>
      </c>
      <c r="E349" t="s">
        <v>36</v>
      </c>
      <c r="F349" t="s">
        <v>26</v>
      </c>
      <c r="G349" t="s">
        <v>41</v>
      </c>
      <c r="H349" t="s">
        <v>42</v>
      </c>
      <c r="I349">
        <v>3</v>
      </c>
      <c r="J349" s="6">
        <v>10094</v>
      </c>
      <c r="K349" s="3">
        <v>0.1</v>
      </c>
      <c r="L349" s="6">
        <v>27253.8</v>
      </c>
      <c r="M349" s="6">
        <v>22151.83</v>
      </c>
      <c r="N349" s="6">
        <v>5101.97</v>
      </c>
      <c r="O349" t="s">
        <v>22</v>
      </c>
    </row>
    <row r="350" spans="1:15" x14ac:dyDescent="0.25">
      <c r="A350" t="s">
        <v>412</v>
      </c>
      <c r="B350" s="5">
        <v>45916</v>
      </c>
      <c r="C350" t="s">
        <v>60</v>
      </c>
      <c r="D350" t="s">
        <v>17</v>
      </c>
      <c r="E350" t="s">
        <v>40</v>
      </c>
      <c r="F350" t="s">
        <v>32</v>
      </c>
      <c r="G350" t="s">
        <v>82</v>
      </c>
      <c r="H350" t="s">
        <v>21</v>
      </c>
      <c r="I350">
        <v>6</v>
      </c>
      <c r="J350" s="6">
        <v>1108</v>
      </c>
      <c r="K350" s="3">
        <v>0.15</v>
      </c>
      <c r="L350" s="6">
        <v>5650.8</v>
      </c>
      <c r="M350" s="6">
        <v>3473.08</v>
      </c>
      <c r="N350" s="6">
        <v>2177.7199999999998</v>
      </c>
      <c r="O350" t="s">
        <v>74</v>
      </c>
    </row>
    <row r="351" spans="1:15" x14ac:dyDescent="0.25">
      <c r="A351" t="s">
        <v>413</v>
      </c>
      <c r="B351" s="5">
        <v>45917</v>
      </c>
      <c r="C351" t="s">
        <v>60</v>
      </c>
      <c r="D351" t="s">
        <v>48</v>
      </c>
      <c r="E351" t="s">
        <v>31</v>
      </c>
      <c r="F351" t="s">
        <v>32</v>
      </c>
      <c r="G351" t="s">
        <v>107</v>
      </c>
      <c r="H351" t="s">
        <v>108</v>
      </c>
      <c r="I351">
        <v>6</v>
      </c>
      <c r="J351" s="6">
        <v>13750</v>
      </c>
      <c r="K351" s="3">
        <v>0.15</v>
      </c>
      <c r="L351" s="6">
        <v>70125</v>
      </c>
      <c r="M351" s="6">
        <v>54472.59</v>
      </c>
      <c r="N351" s="6">
        <v>15652.41</v>
      </c>
      <c r="O351" t="s">
        <v>22</v>
      </c>
    </row>
    <row r="352" spans="1:15" x14ac:dyDescent="0.25">
      <c r="A352" t="s">
        <v>414</v>
      </c>
      <c r="B352" s="5">
        <v>45918</v>
      </c>
      <c r="C352" t="s">
        <v>79</v>
      </c>
      <c r="D352" t="s">
        <v>17</v>
      </c>
      <c r="E352" t="s">
        <v>31</v>
      </c>
      <c r="F352" t="s">
        <v>32</v>
      </c>
      <c r="G352" t="s">
        <v>62</v>
      </c>
      <c r="H352" t="s">
        <v>21</v>
      </c>
      <c r="I352">
        <v>6</v>
      </c>
      <c r="J352" s="6">
        <v>3731</v>
      </c>
      <c r="K352" s="3">
        <v>0</v>
      </c>
      <c r="L352" s="6">
        <v>22386</v>
      </c>
      <c r="M352" s="6">
        <v>15521.23</v>
      </c>
      <c r="N352" s="6">
        <v>6864.77</v>
      </c>
      <c r="O352" t="s">
        <v>74</v>
      </c>
    </row>
    <row r="353" spans="1:15" x14ac:dyDescent="0.25">
      <c r="A353" t="s">
        <v>415</v>
      </c>
      <c r="B353" s="5">
        <v>45918</v>
      </c>
      <c r="C353" t="s">
        <v>96</v>
      </c>
      <c r="D353" t="s">
        <v>48</v>
      </c>
      <c r="E353" t="s">
        <v>46</v>
      </c>
      <c r="F353" t="s">
        <v>32</v>
      </c>
      <c r="G353" t="s">
        <v>64</v>
      </c>
      <c r="H353" t="s">
        <v>53</v>
      </c>
      <c r="I353">
        <v>2</v>
      </c>
      <c r="J353" s="6">
        <v>30743</v>
      </c>
      <c r="K353" s="3">
        <v>0.05</v>
      </c>
      <c r="L353" s="6">
        <v>58411.7</v>
      </c>
      <c r="M353" s="6">
        <v>45454.37</v>
      </c>
      <c r="N353" s="6">
        <v>12957.33</v>
      </c>
      <c r="O353" t="s">
        <v>74</v>
      </c>
    </row>
    <row r="354" spans="1:15" x14ac:dyDescent="0.25">
      <c r="A354" t="s">
        <v>416</v>
      </c>
      <c r="B354" s="5">
        <v>45918</v>
      </c>
      <c r="C354" t="s">
        <v>67</v>
      </c>
      <c r="D354" t="s">
        <v>30</v>
      </c>
      <c r="E354" t="s">
        <v>57</v>
      </c>
      <c r="F354" t="s">
        <v>32</v>
      </c>
      <c r="G354" t="s">
        <v>77</v>
      </c>
      <c r="H354" t="s">
        <v>53</v>
      </c>
      <c r="I354">
        <v>8</v>
      </c>
      <c r="J354" s="6">
        <v>17109</v>
      </c>
      <c r="K354" s="3">
        <v>0</v>
      </c>
      <c r="L354" s="6">
        <v>136872</v>
      </c>
      <c r="M354" s="6">
        <v>103072.44</v>
      </c>
      <c r="N354" s="6">
        <v>33799.56</v>
      </c>
      <c r="O354" t="s">
        <v>43</v>
      </c>
    </row>
    <row r="355" spans="1:15" x14ac:dyDescent="0.25">
      <c r="A355" t="s">
        <v>417</v>
      </c>
      <c r="B355" s="5">
        <v>45919</v>
      </c>
      <c r="C355" t="s">
        <v>29</v>
      </c>
      <c r="D355" t="s">
        <v>48</v>
      </c>
      <c r="E355" t="s">
        <v>40</v>
      </c>
      <c r="F355" t="s">
        <v>32</v>
      </c>
      <c r="G355" t="s">
        <v>20</v>
      </c>
      <c r="H355" t="s">
        <v>21</v>
      </c>
      <c r="I355">
        <v>1</v>
      </c>
      <c r="J355" s="6">
        <v>2471</v>
      </c>
      <c r="K355" s="3">
        <v>0.05</v>
      </c>
      <c r="L355" s="6">
        <v>2347.4499999999998</v>
      </c>
      <c r="M355" s="6">
        <v>1574.11</v>
      </c>
      <c r="N355" s="6">
        <v>773.34</v>
      </c>
      <c r="O355" t="s">
        <v>58</v>
      </c>
    </row>
    <row r="356" spans="1:15" x14ac:dyDescent="0.25">
      <c r="A356" t="s">
        <v>418</v>
      </c>
      <c r="B356" s="5">
        <v>45921</v>
      </c>
      <c r="C356" t="s">
        <v>69</v>
      </c>
      <c r="D356" t="s">
        <v>48</v>
      </c>
      <c r="E356" t="s">
        <v>46</v>
      </c>
      <c r="F356" t="s">
        <v>32</v>
      </c>
      <c r="G356" t="s">
        <v>52</v>
      </c>
      <c r="H356" t="s">
        <v>53</v>
      </c>
      <c r="I356">
        <v>1</v>
      </c>
      <c r="J356" s="6">
        <v>60671</v>
      </c>
      <c r="K356" s="3">
        <v>0</v>
      </c>
      <c r="L356" s="6">
        <v>60671</v>
      </c>
      <c r="M356" s="6">
        <v>36892.080000000002</v>
      </c>
      <c r="N356" s="6">
        <v>23778.92</v>
      </c>
      <c r="O356" t="s">
        <v>74</v>
      </c>
    </row>
    <row r="357" spans="1:15" x14ac:dyDescent="0.25">
      <c r="A357" t="s">
        <v>419</v>
      </c>
      <c r="B357" s="5">
        <v>45921</v>
      </c>
      <c r="C357" t="s">
        <v>45</v>
      </c>
      <c r="D357" t="s">
        <v>30</v>
      </c>
      <c r="E357" t="s">
        <v>40</v>
      </c>
      <c r="F357" t="s">
        <v>19</v>
      </c>
      <c r="G357" t="s">
        <v>64</v>
      </c>
      <c r="H357" t="s">
        <v>53</v>
      </c>
      <c r="I357">
        <v>8</v>
      </c>
      <c r="J357" s="6">
        <v>27801</v>
      </c>
      <c r="K357" s="3">
        <v>0.05</v>
      </c>
      <c r="L357" s="6">
        <v>211287.6</v>
      </c>
      <c r="M357" s="6">
        <v>141488.54999999999</v>
      </c>
      <c r="N357" s="6">
        <v>69799.05</v>
      </c>
      <c r="O357" t="s">
        <v>27</v>
      </c>
    </row>
    <row r="358" spans="1:15" x14ac:dyDescent="0.25">
      <c r="A358" t="s">
        <v>420</v>
      </c>
      <c r="B358" s="5">
        <v>45921</v>
      </c>
      <c r="C358" t="s">
        <v>35</v>
      </c>
      <c r="D358" t="s">
        <v>48</v>
      </c>
      <c r="E358" t="s">
        <v>46</v>
      </c>
      <c r="F358" t="s">
        <v>32</v>
      </c>
      <c r="G358" t="s">
        <v>107</v>
      </c>
      <c r="H358" t="s">
        <v>108</v>
      </c>
      <c r="I358">
        <v>8</v>
      </c>
      <c r="J358" s="6">
        <v>14180</v>
      </c>
      <c r="K358" s="3">
        <v>0.15</v>
      </c>
      <c r="L358" s="6">
        <v>96424</v>
      </c>
      <c r="M358" s="6">
        <v>67413.52</v>
      </c>
      <c r="N358" s="6">
        <v>29010.48</v>
      </c>
      <c r="O358" t="s">
        <v>22</v>
      </c>
    </row>
    <row r="359" spans="1:15" x14ac:dyDescent="0.25">
      <c r="A359" t="s">
        <v>421</v>
      </c>
      <c r="B359" s="5">
        <v>45922</v>
      </c>
      <c r="C359" t="s">
        <v>60</v>
      </c>
      <c r="D359" t="s">
        <v>17</v>
      </c>
      <c r="E359" t="s">
        <v>36</v>
      </c>
      <c r="F359" t="s">
        <v>19</v>
      </c>
      <c r="G359" t="s">
        <v>41</v>
      </c>
      <c r="H359" t="s">
        <v>42</v>
      </c>
      <c r="I359">
        <v>6</v>
      </c>
      <c r="J359" s="6">
        <v>9332</v>
      </c>
      <c r="K359" s="3">
        <v>0.05</v>
      </c>
      <c r="L359" s="6">
        <v>53192.4</v>
      </c>
      <c r="M359" s="6">
        <v>42793.09</v>
      </c>
      <c r="N359" s="6">
        <v>10399.31</v>
      </c>
      <c r="O359" t="s">
        <v>22</v>
      </c>
    </row>
    <row r="360" spans="1:15" x14ac:dyDescent="0.25">
      <c r="A360" t="s">
        <v>422</v>
      </c>
      <c r="B360" s="5">
        <v>45922</v>
      </c>
      <c r="C360" t="s">
        <v>69</v>
      </c>
      <c r="D360" t="s">
        <v>17</v>
      </c>
      <c r="E360" t="s">
        <v>40</v>
      </c>
      <c r="F360" t="s">
        <v>19</v>
      </c>
      <c r="G360" t="s">
        <v>107</v>
      </c>
      <c r="H360" t="s">
        <v>108</v>
      </c>
      <c r="I360">
        <v>5</v>
      </c>
      <c r="J360" s="6">
        <v>13976</v>
      </c>
      <c r="K360" s="3">
        <v>0.05</v>
      </c>
      <c r="L360" s="6">
        <v>66386</v>
      </c>
      <c r="M360" s="6">
        <v>48673.59</v>
      </c>
      <c r="N360" s="6">
        <v>17712.41</v>
      </c>
      <c r="O360" t="s">
        <v>22</v>
      </c>
    </row>
    <row r="361" spans="1:15" x14ac:dyDescent="0.25">
      <c r="A361" t="s">
        <v>423</v>
      </c>
      <c r="B361" s="5">
        <v>45923</v>
      </c>
      <c r="C361" t="s">
        <v>29</v>
      </c>
      <c r="D361" t="s">
        <v>30</v>
      </c>
      <c r="E361" t="s">
        <v>40</v>
      </c>
      <c r="F361" t="s">
        <v>26</v>
      </c>
      <c r="G361" t="s">
        <v>77</v>
      </c>
      <c r="H361" t="s">
        <v>53</v>
      </c>
      <c r="I361">
        <v>1</v>
      </c>
      <c r="J361" s="6">
        <v>18864</v>
      </c>
      <c r="K361" s="3">
        <v>0.1</v>
      </c>
      <c r="L361" s="6">
        <v>16977.599999999999</v>
      </c>
      <c r="M361" s="6">
        <v>12239.38</v>
      </c>
      <c r="N361" s="6">
        <v>4738.22</v>
      </c>
      <c r="O361" t="s">
        <v>58</v>
      </c>
    </row>
    <row r="362" spans="1:15" x14ac:dyDescent="0.25">
      <c r="A362" t="s">
        <v>424</v>
      </c>
      <c r="B362" s="5">
        <v>45923</v>
      </c>
      <c r="C362" t="s">
        <v>79</v>
      </c>
      <c r="D362" t="s">
        <v>39</v>
      </c>
      <c r="E362" t="s">
        <v>25</v>
      </c>
      <c r="F362" t="s">
        <v>26</v>
      </c>
      <c r="G362" t="s">
        <v>86</v>
      </c>
      <c r="H362" t="s">
        <v>42</v>
      </c>
      <c r="I362">
        <v>2</v>
      </c>
      <c r="J362" s="6">
        <v>11963</v>
      </c>
      <c r="K362" s="3">
        <v>0.15</v>
      </c>
      <c r="L362" s="6">
        <v>20337.099999999999</v>
      </c>
      <c r="M362" s="6">
        <v>14973.99</v>
      </c>
      <c r="N362" s="6">
        <v>5363.11</v>
      </c>
      <c r="O362" t="s">
        <v>74</v>
      </c>
    </row>
    <row r="363" spans="1:15" x14ac:dyDescent="0.25">
      <c r="A363" t="s">
        <v>425</v>
      </c>
      <c r="B363" s="5">
        <v>45924</v>
      </c>
      <c r="C363" t="s">
        <v>79</v>
      </c>
      <c r="D363" t="s">
        <v>17</v>
      </c>
      <c r="E363" t="s">
        <v>57</v>
      </c>
      <c r="F363" t="s">
        <v>19</v>
      </c>
      <c r="G363" t="s">
        <v>107</v>
      </c>
      <c r="H363" t="s">
        <v>108</v>
      </c>
      <c r="I363">
        <v>3</v>
      </c>
      <c r="J363" s="6">
        <v>13814</v>
      </c>
      <c r="K363" s="3">
        <v>0.05</v>
      </c>
      <c r="L363" s="6">
        <v>39369.9</v>
      </c>
      <c r="M363" s="6">
        <v>32167.8</v>
      </c>
      <c r="N363" s="6">
        <v>7202.1</v>
      </c>
      <c r="O363" t="s">
        <v>43</v>
      </c>
    </row>
    <row r="364" spans="1:15" x14ac:dyDescent="0.25">
      <c r="A364" t="s">
        <v>426</v>
      </c>
      <c r="B364" s="5">
        <v>45924</v>
      </c>
      <c r="C364" t="s">
        <v>45</v>
      </c>
      <c r="D364" t="s">
        <v>39</v>
      </c>
      <c r="E364" t="s">
        <v>40</v>
      </c>
      <c r="F364" t="s">
        <v>19</v>
      </c>
      <c r="G364" t="s">
        <v>20</v>
      </c>
      <c r="H364" t="s">
        <v>21</v>
      </c>
      <c r="I364">
        <v>8</v>
      </c>
      <c r="J364" s="6">
        <v>2584</v>
      </c>
      <c r="K364" s="3">
        <v>0.1</v>
      </c>
      <c r="L364" s="6">
        <v>18604.8</v>
      </c>
      <c r="M364" s="6">
        <v>13059.99</v>
      </c>
      <c r="N364" s="6">
        <v>5544.81</v>
      </c>
      <c r="O364" t="s">
        <v>43</v>
      </c>
    </row>
    <row r="365" spans="1:15" x14ac:dyDescent="0.25">
      <c r="A365" t="s">
        <v>427</v>
      </c>
      <c r="B365" s="5">
        <v>45925</v>
      </c>
      <c r="C365" t="s">
        <v>69</v>
      </c>
      <c r="D365" t="s">
        <v>30</v>
      </c>
      <c r="E365" t="s">
        <v>18</v>
      </c>
      <c r="F365" t="s">
        <v>26</v>
      </c>
      <c r="G365" t="s">
        <v>20</v>
      </c>
      <c r="H365" t="s">
        <v>21</v>
      </c>
      <c r="I365">
        <v>3</v>
      </c>
      <c r="J365" s="6">
        <v>2493</v>
      </c>
      <c r="K365" s="3">
        <v>0.1</v>
      </c>
      <c r="L365" s="6">
        <v>6731.1</v>
      </c>
      <c r="M365" s="6">
        <v>4103.43</v>
      </c>
      <c r="N365" s="6">
        <v>2627.67</v>
      </c>
      <c r="O365" t="s">
        <v>74</v>
      </c>
    </row>
    <row r="366" spans="1:15" x14ac:dyDescent="0.25">
      <c r="A366" t="s">
        <v>428</v>
      </c>
      <c r="B366" s="5">
        <v>45926</v>
      </c>
      <c r="C366" t="s">
        <v>24</v>
      </c>
      <c r="D366" t="s">
        <v>30</v>
      </c>
      <c r="E366" t="s">
        <v>40</v>
      </c>
      <c r="F366" t="s">
        <v>26</v>
      </c>
      <c r="G366" t="s">
        <v>64</v>
      </c>
      <c r="H366" t="s">
        <v>53</v>
      </c>
      <c r="I366">
        <v>5</v>
      </c>
      <c r="J366" s="6">
        <v>27811</v>
      </c>
      <c r="K366" s="3">
        <v>0.15</v>
      </c>
      <c r="L366" s="6">
        <v>118196.75</v>
      </c>
      <c r="M366" s="6">
        <v>74935.350000000006</v>
      </c>
      <c r="N366" s="6">
        <v>43261.4</v>
      </c>
      <c r="O366" t="s">
        <v>74</v>
      </c>
    </row>
    <row r="367" spans="1:15" x14ac:dyDescent="0.25">
      <c r="A367" t="s">
        <v>429</v>
      </c>
      <c r="B367" s="5">
        <v>45927</v>
      </c>
      <c r="C367" t="s">
        <v>35</v>
      </c>
      <c r="D367" t="s">
        <v>30</v>
      </c>
      <c r="E367" t="s">
        <v>36</v>
      </c>
      <c r="F367" t="s">
        <v>32</v>
      </c>
      <c r="G367" t="s">
        <v>41</v>
      </c>
      <c r="H367" t="s">
        <v>42</v>
      </c>
      <c r="I367">
        <v>2</v>
      </c>
      <c r="J367" s="6">
        <v>9066</v>
      </c>
      <c r="K367" s="3">
        <v>0.15</v>
      </c>
      <c r="L367" s="6">
        <v>15412.2</v>
      </c>
      <c r="M367" s="6">
        <v>10772.25</v>
      </c>
      <c r="N367" s="6">
        <v>4639.95</v>
      </c>
      <c r="O367" t="s">
        <v>22</v>
      </c>
    </row>
    <row r="368" spans="1:15" x14ac:dyDescent="0.25">
      <c r="A368" t="s">
        <v>430</v>
      </c>
      <c r="B368" s="5">
        <v>45928</v>
      </c>
      <c r="C368" t="s">
        <v>51</v>
      </c>
      <c r="D368" t="s">
        <v>48</v>
      </c>
      <c r="E368" t="s">
        <v>40</v>
      </c>
      <c r="F368" t="s">
        <v>26</v>
      </c>
      <c r="G368" t="s">
        <v>20</v>
      </c>
      <c r="H368" t="s">
        <v>21</v>
      </c>
      <c r="I368">
        <v>4</v>
      </c>
      <c r="J368" s="6">
        <v>2682</v>
      </c>
      <c r="K368" s="3">
        <v>0.05</v>
      </c>
      <c r="L368" s="6">
        <v>10191.6</v>
      </c>
      <c r="M368" s="6">
        <v>7722.85</v>
      </c>
      <c r="N368" s="6">
        <v>2468.75</v>
      </c>
      <c r="O368" t="s">
        <v>43</v>
      </c>
    </row>
    <row r="369" spans="1:15" x14ac:dyDescent="0.25">
      <c r="A369" t="s">
        <v>431</v>
      </c>
      <c r="B369" s="5">
        <v>45928</v>
      </c>
      <c r="C369" t="s">
        <v>72</v>
      </c>
      <c r="D369" t="s">
        <v>17</v>
      </c>
      <c r="E369" t="s">
        <v>46</v>
      </c>
      <c r="F369" t="s">
        <v>19</v>
      </c>
      <c r="G369" t="s">
        <v>82</v>
      </c>
      <c r="H369" t="s">
        <v>21</v>
      </c>
      <c r="I369">
        <v>5</v>
      </c>
      <c r="J369" s="6">
        <v>1195</v>
      </c>
      <c r="K369" s="3">
        <v>0</v>
      </c>
      <c r="L369" s="6">
        <v>5975</v>
      </c>
      <c r="M369" s="6">
        <v>3803.64</v>
      </c>
      <c r="N369" s="6">
        <v>2171.36</v>
      </c>
      <c r="O369" t="s">
        <v>58</v>
      </c>
    </row>
    <row r="370" spans="1:15" x14ac:dyDescent="0.25">
      <c r="A370" t="s">
        <v>432</v>
      </c>
      <c r="B370" s="5">
        <v>45929</v>
      </c>
      <c r="C370" t="s">
        <v>91</v>
      </c>
      <c r="D370" t="s">
        <v>30</v>
      </c>
      <c r="E370" t="s">
        <v>31</v>
      </c>
      <c r="F370" t="s">
        <v>26</v>
      </c>
      <c r="G370" t="s">
        <v>64</v>
      </c>
      <c r="H370" t="s">
        <v>53</v>
      </c>
      <c r="I370">
        <v>8</v>
      </c>
      <c r="J370" s="6">
        <v>28304</v>
      </c>
      <c r="K370" s="3">
        <v>0.1</v>
      </c>
      <c r="L370" s="6">
        <v>203788.79999999999</v>
      </c>
      <c r="M370" s="6">
        <v>141085.43</v>
      </c>
      <c r="N370" s="6">
        <v>62703.37</v>
      </c>
      <c r="O370" t="s">
        <v>22</v>
      </c>
    </row>
    <row r="371" spans="1:15" x14ac:dyDescent="0.25">
      <c r="A371" t="s">
        <v>433</v>
      </c>
      <c r="B371" s="5">
        <v>45930</v>
      </c>
      <c r="C371" t="s">
        <v>88</v>
      </c>
      <c r="D371" t="s">
        <v>17</v>
      </c>
      <c r="E371" t="s">
        <v>49</v>
      </c>
      <c r="F371" t="s">
        <v>19</v>
      </c>
      <c r="G371" t="s">
        <v>41</v>
      </c>
      <c r="H371" t="s">
        <v>42</v>
      </c>
      <c r="I371">
        <v>2</v>
      </c>
      <c r="J371" s="6">
        <v>9000</v>
      </c>
      <c r="K371" s="3">
        <v>0.15</v>
      </c>
      <c r="L371" s="6">
        <v>15300</v>
      </c>
      <c r="M371" s="6">
        <v>12359.74</v>
      </c>
      <c r="N371" s="6">
        <v>2940.26</v>
      </c>
      <c r="O371" t="s">
        <v>58</v>
      </c>
    </row>
    <row r="372" spans="1:15" x14ac:dyDescent="0.25">
      <c r="A372" t="s">
        <v>434</v>
      </c>
      <c r="B372" s="5">
        <v>45930</v>
      </c>
      <c r="C372" t="s">
        <v>72</v>
      </c>
      <c r="D372" t="s">
        <v>39</v>
      </c>
      <c r="E372" t="s">
        <v>36</v>
      </c>
      <c r="F372" t="s">
        <v>19</v>
      </c>
      <c r="G372" t="s">
        <v>64</v>
      </c>
      <c r="H372" t="s">
        <v>53</v>
      </c>
      <c r="I372">
        <v>6</v>
      </c>
      <c r="J372" s="6">
        <v>27033</v>
      </c>
      <c r="K372" s="3">
        <v>0</v>
      </c>
      <c r="L372" s="6">
        <v>162198</v>
      </c>
      <c r="M372" s="6">
        <v>129095.98</v>
      </c>
      <c r="N372" s="6">
        <v>33102.019999999997</v>
      </c>
      <c r="O372" t="s">
        <v>58</v>
      </c>
    </row>
    <row r="373" spans="1:15" x14ac:dyDescent="0.25">
      <c r="A373" t="s">
        <v>435</v>
      </c>
      <c r="B373" s="5">
        <v>45930</v>
      </c>
      <c r="C373" t="s">
        <v>51</v>
      </c>
      <c r="D373" t="s">
        <v>17</v>
      </c>
      <c r="E373" t="s">
        <v>40</v>
      </c>
      <c r="F373" t="s">
        <v>19</v>
      </c>
      <c r="G373" t="s">
        <v>33</v>
      </c>
      <c r="H373" t="s">
        <v>21</v>
      </c>
      <c r="I373">
        <v>6</v>
      </c>
      <c r="J373" s="6">
        <v>4325</v>
      </c>
      <c r="K373" s="3">
        <v>0.1</v>
      </c>
      <c r="L373" s="6">
        <v>23355</v>
      </c>
      <c r="M373" s="6">
        <v>18069.060000000001</v>
      </c>
      <c r="N373" s="6">
        <v>5285.94</v>
      </c>
      <c r="O373" t="s">
        <v>58</v>
      </c>
    </row>
    <row r="374" spans="1:15" x14ac:dyDescent="0.25">
      <c r="A374" t="s">
        <v>436</v>
      </c>
      <c r="B374" s="5">
        <v>45933</v>
      </c>
      <c r="C374" t="s">
        <v>72</v>
      </c>
      <c r="D374" t="s">
        <v>48</v>
      </c>
      <c r="E374" t="s">
        <v>46</v>
      </c>
      <c r="F374" t="s">
        <v>19</v>
      </c>
      <c r="G374" t="s">
        <v>77</v>
      </c>
      <c r="H374" t="s">
        <v>53</v>
      </c>
      <c r="I374">
        <v>6</v>
      </c>
      <c r="J374" s="6">
        <v>19592</v>
      </c>
      <c r="K374" s="3">
        <v>0</v>
      </c>
      <c r="L374" s="6">
        <v>117552</v>
      </c>
      <c r="M374" s="6">
        <v>81870.320000000007</v>
      </c>
      <c r="N374" s="6">
        <v>35681.68</v>
      </c>
      <c r="O374" t="s">
        <v>74</v>
      </c>
    </row>
    <row r="375" spans="1:15" x14ac:dyDescent="0.25">
      <c r="A375" t="s">
        <v>437</v>
      </c>
      <c r="B375" s="5">
        <v>45934</v>
      </c>
      <c r="C375" t="s">
        <v>91</v>
      </c>
      <c r="D375" t="s">
        <v>48</v>
      </c>
      <c r="E375" t="s">
        <v>25</v>
      </c>
      <c r="F375" t="s">
        <v>26</v>
      </c>
      <c r="G375" t="s">
        <v>41</v>
      </c>
      <c r="H375" t="s">
        <v>42</v>
      </c>
      <c r="I375">
        <v>1</v>
      </c>
      <c r="J375" s="6">
        <v>9291</v>
      </c>
      <c r="K375" s="3">
        <v>0.05</v>
      </c>
      <c r="L375" s="6">
        <v>8826.4500000000007</v>
      </c>
      <c r="M375" s="6">
        <v>5383.74</v>
      </c>
      <c r="N375" s="6">
        <v>3442.71</v>
      </c>
      <c r="O375" t="s">
        <v>27</v>
      </c>
    </row>
    <row r="376" spans="1:15" x14ac:dyDescent="0.25">
      <c r="A376" t="s">
        <v>438</v>
      </c>
      <c r="B376" s="5">
        <v>45934</v>
      </c>
      <c r="C376" t="s">
        <v>45</v>
      </c>
      <c r="D376" t="s">
        <v>48</v>
      </c>
      <c r="E376" t="s">
        <v>49</v>
      </c>
      <c r="F376" t="s">
        <v>26</v>
      </c>
      <c r="G376" t="s">
        <v>41</v>
      </c>
      <c r="H376" t="s">
        <v>42</v>
      </c>
      <c r="I376">
        <v>2</v>
      </c>
      <c r="J376" s="6">
        <v>9427</v>
      </c>
      <c r="K376" s="3">
        <v>0.2</v>
      </c>
      <c r="L376" s="6">
        <v>15083.2</v>
      </c>
      <c r="M376" s="6">
        <v>12271.16</v>
      </c>
      <c r="N376" s="6">
        <v>2812.04</v>
      </c>
      <c r="O376" t="s">
        <v>58</v>
      </c>
    </row>
    <row r="377" spans="1:15" x14ac:dyDescent="0.25">
      <c r="A377" t="s">
        <v>439</v>
      </c>
      <c r="B377" s="5">
        <v>45934</v>
      </c>
      <c r="C377" t="s">
        <v>67</v>
      </c>
      <c r="D377" t="s">
        <v>30</v>
      </c>
      <c r="E377" t="s">
        <v>46</v>
      </c>
      <c r="F377" t="s">
        <v>26</v>
      </c>
      <c r="G377" t="s">
        <v>62</v>
      </c>
      <c r="H377" t="s">
        <v>21</v>
      </c>
      <c r="I377">
        <v>6</v>
      </c>
      <c r="J377" s="6">
        <v>3342</v>
      </c>
      <c r="K377" s="3">
        <v>0.15</v>
      </c>
      <c r="L377" s="6">
        <v>17044.2</v>
      </c>
      <c r="M377" s="6">
        <v>11950.14</v>
      </c>
      <c r="N377" s="6">
        <v>5094.0600000000004</v>
      </c>
      <c r="O377" t="s">
        <v>58</v>
      </c>
    </row>
    <row r="378" spans="1:15" x14ac:dyDescent="0.25">
      <c r="A378" t="s">
        <v>440</v>
      </c>
      <c r="B378" s="5">
        <v>45935</v>
      </c>
      <c r="C378" t="s">
        <v>67</v>
      </c>
      <c r="D378" t="s">
        <v>17</v>
      </c>
      <c r="E378" t="s">
        <v>18</v>
      </c>
      <c r="F378" t="s">
        <v>19</v>
      </c>
      <c r="G378" t="s">
        <v>62</v>
      </c>
      <c r="H378" t="s">
        <v>21</v>
      </c>
      <c r="I378">
        <v>3</v>
      </c>
      <c r="J378" s="6">
        <v>3170</v>
      </c>
      <c r="K378" s="3">
        <v>0.1</v>
      </c>
      <c r="L378" s="6">
        <v>8559</v>
      </c>
      <c r="M378" s="6">
        <v>6382.75</v>
      </c>
      <c r="N378" s="6">
        <v>2176.25</v>
      </c>
      <c r="O378" t="s">
        <v>58</v>
      </c>
    </row>
    <row r="379" spans="1:15" x14ac:dyDescent="0.25">
      <c r="A379" t="s">
        <v>441</v>
      </c>
      <c r="B379" s="5">
        <v>45935</v>
      </c>
      <c r="C379" t="s">
        <v>67</v>
      </c>
      <c r="D379" t="s">
        <v>48</v>
      </c>
      <c r="E379" t="s">
        <v>25</v>
      </c>
      <c r="F379" t="s">
        <v>26</v>
      </c>
      <c r="G379" t="s">
        <v>86</v>
      </c>
      <c r="H379" t="s">
        <v>42</v>
      </c>
      <c r="I379">
        <v>8</v>
      </c>
      <c r="J379" s="6">
        <v>12113</v>
      </c>
      <c r="K379" s="3">
        <v>0.2</v>
      </c>
      <c r="L379" s="6">
        <v>77523.199999999997</v>
      </c>
      <c r="M379" s="6">
        <v>57841.95</v>
      </c>
      <c r="N379" s="6">
        <v>19681.25</v>
      </c>
      <c r="O379" t="s">
        <v>22</v>
      </c>
    </row>
    <row r="380" spans="1:15" x14ac:dyDescent="0.25">
      <c r="A380" t="s">
        <v>442</v>
      </c>
      <c r="B380" s="5">
        <v>45935</v>
      </c>
      <c r="C380" t="s">
        <v>67</v>
      </c>
      <c r="D380" t="s">
        <v>39</v>
      </c>
      <c r="E380" t="s">
        <v>40</v>
      </c>
      <c r="F380" t="s">
        <v>26</v>
      </c>
      <c r="G380" t="s">
        <v>86</v>
      </c>
      <c r="H380" t="s">
        <v>42</v>
      </c>
      <c r="I380">
        <v>1</v>
      </c>
      <c r="J380" s="6">
        <v>11340</v>
      </c>
      <c r="K380" s="3">
        <v>0</v>
      </c>
      <c r="L380" s="6">
        <v>11340</v>
      </c>
      <c r="M380" s="6">
        <v>7155.28</v>
      </c>
      <c r="N380" s="6">
        <v>4184.72</v>
      </c>
      <c r="O380" t="s">
        <v>22</v>
      </c>
    </row>
    <row r="381" spans="1:15" x14ac:dyDescent="0.25">
      <c r="A381" t="s">
        <v>443</v>
      </c>
      <c r="B381" s="5">
        <v>45935</v>
      </c>
      <c r="C381" t="s">
        <v>96</v>
      </c>
      <c r="D381" t="s">
        <v>17</v>
      </c>
      <c r="E381" t="s">
        <v>57</v>
      </c>
      <c r="F381" t="s">
        <v>32</v>
      </c>
      <c r="G381" t="s">
        <v>82</v>
      </c>
      <c r="H381" t="s">
        <v>21</v>
      </c>
      <c r="I381">
        <v>4</v>
      </c>
      <c r="J381" s="6">
        <v>1245</v>
      </c>
      <c r="K381" s="3">
        <v>0</v>
      </c>
      <c r="L381" s="6">
        <v>4980</v>
      </c>
      <c r="M381" s="6">
        <v>3317.74</v>
      </c>
      <c r="N381" s="6">
        <v>1662.26</v>
      </c>
      <c r="O381" t="s">
        <v>27</v>
      </c>
    </row>
    <row r="382" spans="1:15" x14ac:dyDescent="0.25">
      <c r="A382" t="s">
        <v>444</v>
      </c>
      <c r="B382" s="5">
        <v>45936</v>
      </c>
      <c r="C382" t="s">
        <v>16</v>
      </c>
      <c r="D382" t="s">
        <v>39</v>
      </c>
      <c r="E382" t="s">
        <v>25</v>
      </c>
      <c r="F382" t="s">
        <v>32</v>
      </c>
      <c r="G382" t="s">
        <v>20</v>
      </c>
      <c r="H382" t="s">
        <v>21</v>
      </c>
      <c r="I382">
        <v>5</v>
      </c>
      <c r="J382" s="6">
        <v>2658</v>
      </c>
      <c r="K382" s="3">
        <v>0</v>
      </c>
      <c r="L382" s="6">
        <v>13290</v>
      </c>
      <c r="M382" s="6">
        <v>9565.98</v>
      </c>
      <c r="N382" s="6">
        <v>3724.02</v>
      </c>
      <c r="O382" t="s">
        <v>43</v>
      </c>
    </row>
    <row r="383" spans="1:15" x14ac:dyDescent="0.25">
      <c r="A383" t="s">
        <v>445</v>
      </c>
      <c r="B383" s="5">
        <v>45936</v>
      </c>
      <c r="C383" t="s">
        <v>51</v>
      </c>
      <c r="D383" t="s">
        <v>30</v>
      </c>
      <c r="E383" t="s">
        <v>18</v>
      </c>
      <c r="F383" t="s">
        <v>19</v>
      </c>
      <c r="G383" t="s">
        <v>33</v>
      </c>
      <c r="H383" t="s">
        <v>21</v>
      </c>
      <c r="I383">
        <v>3</v>
      </c>
      <c r="J383" s="6">
        <v>4848</v>
      </c>
      <c r="K383" s="3">
        <v>0.05</v>
      </c>
      <c r="L383" s="6">
        <v>13816.8</v>
      </c>
      <c r="M383" s="6">
        <v>9800.49</v>
      </c>
      <c r="N383" s="6">
        <v>4016.31</v>
      </c>
      <c r="O383" t="s">
        <v>22</v>
      </c>
    </row>
    <row r="384" spans="1:15" x14ac:dyDescent="0.25">
      <c r="A384" t="s">
        <v>446</v>
      </c>
      <c r="B384" s="5">
        <v>45936</v>
      </c>
      <c r="C384" t="s">
        <v>72</v>
      </c>
      <c r="D384" t="s">
        <v>48</v>
      </c>
      <c r="E384" t="s">
        <v>46</v>
      </c>
      <c r="F384" t="s">
        <v>26</v>
      </c>
      <c r="G384" t="s">
        <v>41</v>
      </c>
      <c r="H384" t="s">
        <v>42</v>
      </c>
      <c r="I384">
        <v>1</v>
      </c>
      <c r="J384" s="6">
        <v>8678</v>
      </c>
      <c r="K384" s="3">
        <v>0.05</v>
      </c>
      <c r="L384" s="6">
        <v>8244.1</v>
      </c>
      <c r="M384" s="6">
        <v>6491.45</v>
      </c>
      <c r="N384" s="6">
        <v>1752.65</v>
      </c>
      <c r="O384" t="s">
        <v>74</v>
      </c>
    </row>
    <row r="385" spans="1:15" x14ac:dyDescent="0.25">
      <c r="A385" t="s">
        <v>447</v>
      </c>
      <c r="B385" s="5">
        <v>45936</v>
      </c>
      <c r="C385" t="s">
        <v>96</v>
      </c>
      <c r="D385" t="s">
        <v>39</v>
      </c>
      <c r="E385" t="s">
        <v>57</v>
      </c>
      <c r="F385" t="s">
        <v>32</v>
      </c>
      <c r="G385" t="s">
        <v>20</v>
      </c>
      <c r="H385" t="s">
        <v>21</v>
      </c>
      <c r="I385">
        <v>8</v>
      </c>
      <c r="J385" s="6">
        <v>2260</v>
      </c>
      <c r="K385" s="3">
        <v>0.1</v>
      </c>
      <c r="L385" s="6">
        <v>16272</v>
      </c>
      <c r="M385" s="6">
        <v>12514.66</v>
      </c>
      <c r="N385" s="6">
        <v>3757.34</v>
      </c>
      <c r="O385" t="s">
        <v>43</v>
      </c>
    </row>
    <row r="386" spans="1:15" x14ac:dyDescent="0.25">
      <c r="A386" t="s">
        <v>448</v>
      </c>
      <c r="B386" s="5">
        <v>45937</v>
      </c>
      <c r="C386" t="s">
        <v>67</v>
      </c>
      <c r="D386" t="s">
        <v>17</v>
      </c>
      <c r="E386" t="s">
        <v>49</v>
      </c>
      <c r="F386" t="s">
        <v>19</v>
      </c>
      <c r="G386" t="s">
        <v>41</v>
      </c>
      <c r="H386" t="s">
        <v>42</v>
      </c>
      <c r="I386">
        <v>7</v>
      </c>
      <c r="J386" s="6">
        <v>9181</v>
      </c>
      <c r="K386" s="3">
        <v>0.1</v>
      </c>
      <c r="L386" s="6">
        <v>57840.3</v>
      </c>
      <c r="M386" s="6">
        <v>44516.61</v>
      </c>
      <c r="N386" s="6">
        <v>13323.69</v>
      </c>
      <c r="O386" t="s">
        <v>74</v>
      </c>
    </row>
    <row r="387" spans="1:15" x14ac:dyDescent="0.25">
      <c r="A387" t="s">
        <v>449</v>
      </c>
      <c r="B387" s="5">
        <v>45937</v>
      </c>
      <c r="C387" t="s">
        <v>79</v>
      </c>
      <c r="D387" t="s">
        <v>39</v>
      </c>
      <c r="E387" t="s">
        <v>46</v>
      </c>
      <c r="F387" t="s">
        <v>26</v>
      </c>
      <c r="G387" t="s">
        <v>52</v>
      </c>
      <c r="H387" t="s">
        <v>53</v>
      </c>
      <c r="I387">
        <v>6</v>
      </c>
      <c r="J387" s="6">
        <v>71066</v>
      </c>
      <c r="K387" s="3">
        <v>0.2</v>
      </c>
      <c r="L387" s="6">
        <v>341116.8</v>
      </c>
      <c r="M387" s="6">
        <v>268684.77</v>
      </c>
      <c r="N387" s="6">
        <v>72432.03</v>
      </c>
      <c r="O387" t="s">
        <v>74</v>
      </c>
    </row>
    <row r="388" spans="1:15" x14ac:dyDescent="0.25">
      <c r="A388" t="s">
        <v>450</v>
      </c>
      <c r="B388" s="5">
        <v>45938</v>
      </c>
      <c r="C388" t="s">
        <v>96</v>
      </c>
      <c r="D388" t="s">
        <v>39</v>
      </c>
      <c r="E388" t="s">
        <v>57</v>
      </c>
      <c r="F388" t="s">
        <v>26</v>
      </c>
      <c r="G388" t="s">
        <v>86</v>
      </c>
      <c r="H388" t="s">
        <v>42</v>
      </c>
      <c r="I388">
        <v>5</v>
      </c>
      <c r="J388" s="6">
        <v>11940</v>
      </c>
      <c r="K388" s="3">
        <v>0.1</v>
      </c>
      <c r="L388" s="6">
        <v>53730</v>
      </c>
      <c r="M388" s="6">
        <v>44052.29</v>
      </c>
      <c r="N388" s="6">
        <v>9677.7099999999991</v>
      </c>
      <c r="O388" t="s">
        <v>43</v>
      </c>
    </row>
    <row r="389" spans="1:15" x14ac:dyDescent="0.25">
      <c r="A389" t="s">
        <v>451</v>
      </c>
      <c r="B389" s="5">
        <v>45939</v>
      </c>
      <c r="C389" t="s">
        <v>60</v>
      </c>
      <c r="D389" t="s">
        <v>30</v>
      </c>
      <c r="E389" t="s">
        <v>25</v>
      </c>
      <c r="F389" t="s">
        <v>32</v>
      </c>
      <c r="G389" t="s">
        <v>41</v>
      </c>
      <c r="H389" t="s">
        <v>42</v>
      </c>
      <c r="I389">
        <v>4</v>
      </c>
      <c r="J389" s="6">
        <v>10277</v>
      </c>
      <c r="K389" s="3">
        <v>0</v>
      </c>
      <c r="L389" s="6">
        <v>41108</v>
      </c>
      <c r="M389" s="6">
        <v>26813.08</v>
      </c>
      <c r="N389" s="6">
        <v>14294.92</v>
      </c>
      <c r="O389" t="s">
        <v>22</v>
      </c>
    </row>
    <row r="390" spans="1:15" x14ac:dyDescent="0.25">
      <c r="A390" t="s">
        <v>452</v>
      </c>
      <c r="B390" s="5">
        <v>45940</v>
      </c>
      <c r="C390" t="s">
        <v>69</v>
      </c>
      <c r="D390" t="s">
        <v>30</v>
      </c>
      <c r="E390" t="s">
        <v>25</v>
      </c>
      <c r="F390" t="s">
        <v>32</v>
      </c>
      <c r="G390" t="s">
        <v>107</v>
      </c>
      <c r="H390" t="s">
        <v>108</v>
      </c>
      <c r="I390">
        <v>5</v>
      </c>
      <c r="J390" s="6">
        <v>13729</v>
      </c>
      <c r="K390" s="3">
        <v>0.05</v>
      </c>
      <c r="L390" s="6">
        <v>65212.75</v>
      </c>
      <c r="M390" s="6">
        <v>44403.45</v>
      </c>
      <c r="N390" s="6">
        <v>20809.3</v>
      </c>
      <c r="O390" t="s">
        <v>74</v>
      </c>
    </row>
    <row r="391" spans="1:15" x14ac:dyDescent="0.25">
      <c r="A391" t="s">
        <v>453</v>
      </c>
      <c r="B391" s="5">
        <v>45940</v>
      </c>
      <c r="C391" t="s">
        <v>88</v>
      </c>
      <c r="D391" t="s">
        <v>48</v>
      </c>
      <c r="E391" t="s">
        <v>25</v>
      </c>
      <c r="F391" t="s">
        <v>19</v>
      </c>
      <c r="G391" t="s">
        <v>62</v>
      </c>
      <c r="H391" t="s">
        <v>21</v>
      </c>
      <c r="I391">
        <v>4</v>
      </c>
      <c r="J391" s="6">
        <v>3277</v>
      </c>
      <c r="K391" s="3">
        <v>0.15</v>
      </c>
      <c r="L391" s="6">
        <v>11141.8</v>
      </c>
      <c r="M391" s="6">
        <v>8115.09</v>
      </c>
      <c r="N391" s="6">
        <v>3026.71</v>
      </c>
      <c r="O391" t="s">
        <v>58</v>
      </c>
    </row>
    <row r="392" spans="1:15" x14ac:dyDescent="0.25">
      <c r="A392" t="s">
        <v>454</v>
      </c>
      <c r="B392" s="5">
        <v>45940</v>
      </c>
      <c r="C392" t="s">
        <v>38</v>
      </c>
      <c r="D392" t="s">
        <v>39</v>
      </c>
      <c r="E392" t="s">
        <v>57</v>
      </c>
      <c r="F392" t="s">
        <v>32</v>
      </c>
      <c r="G392" t="s">
        <v>86</v>
      </c>
      <c r="H392" t="s">
        <v>42</v>
      </c>
      <c r="I392">
        <v>4</v>
      </c>
      <c r="J392" s="6">
        <v>11646</v>
      </c>
      <c r="K392" s="3">
        <v>0.05</v>
      </c>
      <c r="L392" s="6">
        <v>44254.8</v>
      </c>
      <c r="M392" s="6">
        <v>28155.98</v>
      </c>
      <c r="N392" s="6">
        <v>16098.82</v>
      </c>
      <c r="O392" t="s">
        <v>74</v>
      </c>
    </row>
    <row r="393" spans="1:15" x14ac:dyDescent="0.25">
      <c r="A393" t="s">
        <v>455</v>
      </c>
      <c r="B393" s="5">
        <v>45940</v>
      </c>
      <c r="C393" t="s">
        <v>35</v>
      </c>
      <c r="D393" t="s">
        <v>39</v>
      </c>
      <c r="E393" t="s">
        <v>57</v>
      </c>
      <c r="F393" t="s">
        <v>32</v>
      </c>
      <c r="G393" t="s">
        <v>33</v>
      </c>
      <c r="H393" t="s">
        <v>21</v>
      </c>
      <c r="I393">
        <v>2</v>
      </c>
      <c r="J393" s="6">
        <v>4123</v>
      </c>
      <c r="K393" s="3">
        <v>0</v>
      </c>
      <c r="L393" s="6">
        <v>8246</v>
      </c>
      <c r="M393" s="6">
        <v>6737.48</v>
      </c>
      <c r="N393" s="6">
        <v>1508.52</v>
      </c>
      <c r="O393" t="s">
        <v>74</v>
      </c>
    </row>
    <row r="394" spans="1:15" x14ac:dyDescent="0.25">
      <c r="A394" t="s">
        <v>456</v>
      </c>
      <c r="B394" s="5">
        <v>45940</v>
      </c>
      <c r="C394" t="s">
        <v>29</v>
      </c>
      <c r="D394" t="s">
        <v>30</v>
      </c>
      <c r="E394" t="s">
        <v>18</v>
      </c>
      <c r="F394" t="s">
        <v>26</v>
      </c>
      <c r="G394" t="s">
        <v>52</v>
      </c>
      <c r="H394" t="s">
        <v>53</v>
      </c>
      <c r="I394">
        <v>7</v>
      </c>
      <c r="J394" s="6">
        <v>62442</v>
      </c>
      <c r="K394" s="3">
        <v>0.15</v>
      </c>
      <c r="L394" s="6">
        <v>371529.9</v>
      </c>
      <c r="M394" s="6">
        <v>232615.48</v>
      </c>
      <c r="N394" s="6">
        <v>138914.42000000001</v>
      </c>
      <c r="O394" t="s">
        <v>74</v>
      </c>
    </row>
    <row r="395" spans="1:15" x14ac:dyDescent="0.25">
      <c r="A395" t="s">
        <v>457</v>
      </c>
      <c r="B395" s="5">
        <v>45940</v>
      </c>
      <c r="C395" t="s">
        <v>29</v>
      </c>
      <c r="D395" t="s">
        <v>48</v>
      </c>
      <c r="E395" t="s">
        <v>46</v>
      </c>
      <c r="F395" t="s">
        <v>32</v>
      </c>
      <c r="G395" t="s">
        <v>77</v>
      </c>
      <c r="H395" t="s">
        <v>53</v>
      </c>
      <c r="I395">
        <v>7</v>
      </c>
      <c r="J395" s="6">
        <v>17958</v>
      </c>
      <c r="K395" s="3">
        <v>0</v>
      </c>
      <c r="L395" s="6">
        <v>125706</v>
      </c>
      <c r="M395" s="6">
        <v>84892.33</v>
      </c>
      <c r="N395" s="6">
        <v>40813.67</v>
      </c>
      <c r="O395" t="s">
        <v>74</v>
      </c>
    </row>
    <row r="396" spans="1:15" x14ac:dyDescent="0.25">
      <c r="A396" t="s">
        <v>458</v>
      </c>
      <c r="B396" s="5">
        <v>45940</v>
      </c>
      <c r="C396" t="s">
        <v>88</v>
      </c>
      <c r="D396" t="s">
        <v>39</v>
      </c>
      <c r="E396" t="s">
        <v>31</v>
      </c>
      <c r="F396" t="s">
        <v>26</v>
      </c>
      <c r="G396" t="s">
        <v>77</v>
      </c>
      <c r="H396" t="s">
        <v>53</v>
      </c>
      <c r="I396">
        <v>3</v>
      </c>
      <c r="J396" s="6">
        <v>19740</v>
      </c>
      <c r="K396" s="3">
        <v>0</v>
      </c>
      <c r="L396" s="6">
        <v>59220</v>
      </c>
      <c r="M396" s="6">
        <v>38163.94</v>
      </c>
      <c r="N396" s="6">
        <v>21056.06</v>
      </c>
      <c r="O396" t="s">
        <v>22</v>
      </c>
    </row>
    <row r="397" spans="1:15" x14ac:dyDescent="0.25">
      <c r="A397" t="s">
        <v>459</v>
      </c>
      <c r="B397" s="5">
        <v>45940</v>
      </c>
      <c r="C397" t="s">
        <v>96</v>
      </c>
      <c r="D397" t="s">
        <v>48</v>
      </c>
      <c r="E397" t="s">
        <v>31</v>
      </c>
      <c r="F397" t="s">
        <v>19</v>
      </c>
      <c r="G397" t="s">
        <v>41</v>
      </c>
      <c r="H397" t="s">
        <v>42</v>
      </c>
      <c r="I397">
        <v>3</v>
      </c>
      <c r="J397" s="6">
        <v>9075</v>
      </c>
      <c r="K397" s="3">
        <v>0.2</v>
      </c>
      <c r="L397" s="6">
        <v>21780</v>
      </c>
      <c r="M397" s="6">
        <v>14655.68</v>
      </c>
      <c r="N397" s="6">
        <v>7124.32</v>
      </c>
      <c r="O397" t="s">
        <v>58</v>
      </c>
    </row>
    <row r="398" spans="1:15" x14ac:dyDescent="0.25">
      <c r="A398" t="s">
        <v>460</v>
      </c>
      <c r="B398" s="5">
        <v>45941</v>
      </c>
      <c r="C398" t="s">
        <v>79</v>
      </c>
      <c r="D398" t="s">
        <v>39</v>
      </c>
      <c r="E398" t="s">
        <v>25</v>
      </c>
      <c r="F398" t="s">
        <v>32</v>
      </c>
      <c r="G398" t="s">
        <v>77</v>
      </c>
      <c r="H398" t="s">
        <v>53</v>
      </c>
      <c r="I398">
        <v>7</v>
      </c>
      <c r="J398" s="6">
        <v>16544</v>
      </c>
      <c r="K398" s="3">
        <v>0.05</v>
      </c>
      <c r="L398" s="6">
        <v>110017.60000000001</v>
      </c>
      <c r="M398" s="6">
        <v>89456.24</v>
      </c>
      <c r="N398" s="6">
        <v>20561.36</v>
      </c>
      <c r="O398" t="s">
        <v>27</v>
      </c>
    </row>
    <row r="399" spans="1:15" x14ac:dyDescent="0.25">
      <c r="A399" t="s">
        <v>461</v>
      </c>
      <c r="B399" s="5">
        <v>45941</v>
      </c>
      <c r="C399" t="s">
        <v>24</v>
      </c>
      <c r="D399" t="s">
        <v>39</v>
      </c>
      <c r="E399" t="s">
        <v>40</v>
      </c>
      <c r="F399" t="s">
        <v>26</v>
      </c>
      <c r="G399" t="s">
        <v>52</v>
      </c>
      <c r="H399" t="s">
        <v>53</v>
      </c>
      <c r="I399">
        <v>6</v>
      </c>
      <c r="J399" s="6">
        <v>69677</v>
      </c>
      <c r="K399" s="3">
        <v>0</v>
      </c>
      <c r="L399" s="6">
        <v>418062</v>
      </c>
      <c r="M399" s="6">
        <v>323254.78999999998</v>
      </c>
      <c r="N399" s="6">
        <v>94807.21</v>
      </c>
      <c r="O399" t="s">
        <v>58</v>
      </c>
    </row>
    <row r="400" spans="1:15" x14ac:dyDescent="0.25">
      <c r="A400" t="s">
        <v>462</v>
      </c>
      <c r="B400" s="5">
        <v>45942</v>
      </c>
      <c r="C400" t="s">
        <v>35</v>
      </c>
      <c r="D400" t="s">
        <v>39</v>
      </c>
      <c r="E400" t="s">
        <v>49</v>
      </c>
      <c r="F400" t="s">
        <v>19</v>
      </c>
      <c r="G400" t="s">
        <v>82</v>
      </c>
      <c r="H400" t="s">
        <v>21</v>
      </c>
      <c r="I400">
        <v>1</v>
      </c>
      <c r="J400" s="6">
        <v>1104</v>
      </c>
      <c r="K400" s="3">
        <v>0.15</v>
      </c>
      <c r="L400" s="6">
        <v>938.4</v>
      </c>
      <c r="M400" s="6">
        <v>671.84</v>
      </c>
      <c r="N400" s="6">
        <v>266.56</v>
      </c>
      <c r="O400" t="s">
        <v>43</v>
      </c>
    </row>
    <row r="401" spans="1:15" x14ac:dyDescent="0.25">
      <c r="A401" t="s">
        <v>463</v>
      </c>
      <c r="B401" s="5">
        <v>45942</v>
      </c>
      <c r="C401" t="s">
        <v>88</v>
      </c>
      <c r="D401" t="s">
        <v>39</v>
      </c>
      <c r="E401" t="s">
        <v>40</v>
      </c>
      <c r="F401" t="s">
        <v>19</v>
      </c>
      <c r="G401" t="s">
        <v>77</v>
      </c>
      <c r="H401" t="s">
        <v>53</v>
      </c>
      <c r="I401">
        <v>5</v>
      </c>
      <c r="J401" s="6">
        <v>16539</v>
      </c>
      <c r="K401" s="3">
        <v>0.1</v>
      </c>
      <c r="L401" s="6">
        <v>74425.5</v>
      </c>
      <c r="M401" s="6">
        <v>45820.92</v>
      </c>
      <c r="N401" s="6">
        <v>28604.58</v>
      </c>
      <c r="O401" t="s">
        <v>27</v>
      </c>
    </row>
    <row r="402" spans="1:15" x14ac:dyDescent="0.25">
      <c r="A402" t="s">
        <v>464</v>
      </c>
      <c r="B402" s="5">
        <v>45943</v>
      </c>
      <c r="C402" t="s">
        <v>38</v>
      </c>
      <c r="D402" t="s">
        <v>48</v>
      </c>
      <c r="E402" t="s">
        <v>18</v>
      </c>
      <c r="F402" t="s">
        <v>32</v>
      </c>
      <c r="G402" t="s">
        <v>52</v>
      </c>
      <c r="H402" t="s">
        <v>53</v>
      </c>
      <c r="I402">
        <v>1</v>
      </c>
      <c r="J402" s="6">
        <v>65068</v>
      </c>
      <c r="K402" s="3">
        <v>0.15</v>
      </c>
      <c r="L402" s="6">
        <v>55307.8</v>
      </c>
      <c r="M402" s="6">
        <v>37078.949999999997</v>
      </c>
      <c r="N402" s="6">
        <v>18228.849999999999</v>
      </c>
      <c r="O402" t="s">
        <v>74</v>
      </c>
    </row>
    <row r="403" spans="1:15" x14ac:dyDescent="0.25">
      <c r="A403" t="s">
        <v>465</v>
      </c>
      <c r="B403" s="5">
        <v>45943</v>
      </c>
      <c r="C403" t="s">
        <v>35</v>
      </c>
      <c r="D403" t="s">
        <v>48</v>
      </c>
      <c r="E403" t="s">
        <v>46</v>
      </c>
      <c r="F403" t="s">
        <v>19</v>
      </c>
      <c r="G403" t="s">
        <v>64</v>
      </c>
      <c r="H403" t="s">
        <v>53</v>
      </c>
      <c r="I403">
        <v>5</v>
      </c>
      <c r="J403" s="6">
        <v>29508</v>
      </c>
      <c r="K403" s="3">
        <v>0.05</v>
      </c>
      <c r="L403" s="6">
        <v>140163</v>
      </c>
      <c r="M403" s="6">
        <v>109616.11</v>
      </c>
      <c r="N403" s="6">
        <v>30546.89</v>
      </c>
      <c r="O403" t="s">
        <v>22</v>
      </c>
    </row>
    <row r="404" spans="1:15" x14ac:dyDescent="0.25">
      <c r="A404" t="s">
        <v>466</v>
      </c>
      <c r="B404" s="5">
        <v>45944</v>
      </c>
      <c r="C404" t="s">
        <v>35</v>
      </c>
      <c r="D404" t="s">
        <v>39</v>
      </c>
      <c r="E404" t="s">
        <v>18</v>
      </c>
      <c r="F404" t="s">
        <v>26</v>
      </c>
      <c r="G404" t="s">
        <v>33</v>
      </c>
      <c r="H404" t="s">
        <v>21</v>
      </c>
      <c r="I404">
        <v>3</v>
      </c>
      <c r="J404" s="6">
        <v>4947</v>
      </c>
      <c r="K404" s="3">
        <v>0.05</v>
      </c>
      <c r="L404" s="6">
        <v>14098.95</v>
      </c>
      <c r="M404" s="6">
        <v>8584.5300000000007</v>
      </c>
      <c r="N404" s="6">
        <v>5514.42</v>
      </c>
      <c r="O404" t="s">
        <v>43</v>
      </c>
    </row>
    <row r="405" spans="1:15" x14ac:dyDescent="0.25">
      <c r="A405" t="s">
        <v>467</v>
      </c>
      <c r="B405" s="5">
        <v>45945</v>
      </c>
      <c r="C405" t="s">
        <v>45</v>
      </c>
      <c r="D405" t="s">
        <v>39</v>
      </c>
      <c r="E405" t="s">
        <v>31</v>
      </c>
      <c r="F405" t="s">
        <v>32</v>
      </c>
      <c r="G405" t="s">
        <v>64</v>
      </c>
      <c r="H405" t="s">
        <v>53</v>
      </c>
      <c r="I405">
        <v>5</v>
      </c>
      <c r="J405" s="6">
        <v>25644</v>
      </c>
      <c r="K405" s="3">
        <v>0</v>
      </c>
      <c r="L405" s="6">
        <v>128220</v>
      </c>
      <c r="M405" s="6">
        <v>102155.69</v>
      </c>
      <c r="N405" s="6">
        <v>26064.31</v>
      </c>
      <c r="O405" t="s">
        <v>58</v>
      </c>
    </row>
    <row r="406" spans="1:15" x14ac:dyDescent="0.25">
      <c r="A406" t="s">
        <v>468</v>
      </c>
      <c r="B406" s="5">
        <v>45946</v>
      </c>
      <c r="C406" t="s">
        <v>91</v>
      </c>
      <c r="D406" t="s">
        <v>48</v>
      </c>
      <c r="E406" t="s">
        <v>25</v>
      </c>
      <c r="F406" t="s">
        <v>19</v>
      </c>
      <c r="G406" t="s">
        <v>82</v>
      </c>
      <c r="H406" t="s">
        <v>21</v>
      </c>
      <c r="I406">
        <v>5</v>
      </c>
      <c r="J406" s="6">
        <v>1242</v>
      </c>
      <c r="K406" s="3">
        <v>0.05</v>
      </c>
      <c r="L406" s="6">
        <v>5899.5</v>
      </c>
      <c r="M406" s="6">
        <v>4430.4799999999996</v>
      </c>
      <c r="N406" s="6">
        <v>1469.02</v>
      </c>
      <c r="O406" t="s">
        <v>74</v>
      </c>
    </row>
    <row r="407" spans="1:15" x14ac:dyDescent="0.25">
      <c r="A407" t="s">
        <v>469</v>
      </c>
      <c r="B407" s="5">
        <v>45946</v>
      </c>
      <c r="C407" t="s">
        <v>29</v>
      </c>
      <c r="D407" t="s">
        <v>39</v>
      </c>
      <c r="E407" t="s">
        <v>31</v>
      </c>
      <c r="F407" t="s">
        <v>32</v>
      </c>
      <c r="G407" t="s">
        <v>82</v>
      </c>
      <c r="H407" t="s">
        <v>21</v>
      </c>
      <c r="I407">
        <v>6</v>
      </c>
      <c r="J407" s="6">
        <v>1256</v>
      </c>
      <c r="K407" s="3">
        <v>0</v>
      </c>
      <c r="L407" s="6">
        <v>7536</v>
      </c>
      <c r="M407" s="6">
        <v>5816.43</v>
      </c>
      <c r="N407" s="6">
        <v>1719.57</v>
      </c>
      <c r="O407" t="s">
        <v>27</v>
      </c>
    </row>
    <row r="408" spans="1:15" x14ac:dyDescent="0.25">
      <c r="A408" t="s">
        <v>470</v>
      </c>
      <c r="B408" s="5">
        <v>45947</v>
      </c>
      <c r="C408" t="s">
        <v>29</v>
      </c>
      <c r="D408" t="s">
        <v>39</v>
      </c>
      <c r="E408" t="s">
        <v>49</v>
      </c>
      <c r="F408" t="s">
        <v>26</v>
      </c>
      <c r="G408" t="s">
        <v>107</v>
      </c>
      <c r="H408" t="s">
        <v>108</v>
      </c>
      <c r="I408">
        <v>3</v>
      </c>
      <c r="J408" s="6">
        <v>14619</v>
      </c>
      <c r="K408" s="3">
        <v>0.1</v>
      </c>
      <c r="L408" s="6">
        <v>39471.300000000003</v>
      </c>
      <c r="M408" s="6">
        <v>27596.400000000001</v>
      </c>
      <c r="N408" s="6">
        <v>11874.9</v>
      </c>
      <c r="O408" t="s">
        <v>43</v>
      </c>
    </row>
    <row r="409" spans="1:15" x14ac:dyDescent="0.25">
      <c r="A409" t="s">
        <v>471</v>
      </c>
      <c r="B409" s="5">
        <v>45947</v>
      </c>
      <c r="C409" t="s">
        <v>60</v>
      </c>
      <c r="D409" t="s">
        <v>17</v>
      </c>
      <c r="E409" t="s">
        <v>46</v>
      </c>
      <c r="F409" t="s">
        <v>32</v>
      </c>
      <c r="G409" t="s">
        <v>82</v>
      </c>
      <c r="H409" t="s">
        <v>21</v>
      </c>
      <c r="I409">
        <v>6</v>
      </c>
      <c r="J409" s="6">
        <v>1085</v>
      </c>
      <c r="K409" s="3">
        <v>0.05</v>
      </c>
      <c r="L409" s="6">
        <v>6184.5</v>
      </c>
      <c r="M409" s="6">
        <v>4457.84</v>
      </c>
      <c r="N409" s="6">
        <v>1726.66</v>
      </c>
      <c r="O409" t="s">
        <v>27</v>
      </c>
    </row>
    <row r="410" spans="1:15" x14ac:dyDescent="0.25">
      <c r="A410" t="s">
        <v>472</v>
      </c>
      <c r="B410" s="5">
        <v>45948</v>
      </c>
      <c r="C410" t="s">
        <v>72</v>
      </c>
      <c r="D410" t="s">
        <v>39</v>
      </c>
      <c r="E410" t="s">
        <v>46</v>
      </c>
      <c r="F410" t="s">
        <v>32</v>
      </c>
      <c r="G410" t="s">
        <v>77</v>
      </c>
      <c r="H410" t="s">
        <v>53</v>
      </c>
      <c r="I410">
        <v>7</v>
      </c>
      <c r="J410" s="6">
        <v>17874</v>
      </c>
      <c r="K410" s="3">
        <v>0</v>
      </c>
      <c r="L410" s="6">
        <v>125118</v>
      </c>
      <c r="M410" s="6">
        <v>90548.56</v>
      </c>
      <c r="N410" s="6">
        <v>34569.440000000002</v>
      </c>
      <c r="O410" t="s">
        <v>74</v>
      </c>
    </row>
    <row r="411" spans="1:15" x14ac:dyDescent="0.25">
      <c r="A411" t="s">
        <v>473</v>
      </c>
      <c r="B411" s="5">
        <v>45950</v>
      </c>
      <c r="C411" t="s">
        <v>69</v>
      </c>
      <c r="D411" t="s">
        <v>48</v>
      </c>
      <c r="E411" t="s">
        <v>46</v>
      </c>
      <c r="F411" t="s">
        <v>32</v>
      </c>
      <c r="G411" t="s">
        <v>82</v>
      </c>
      <c r="H411" t="s">
        <v>21</v>
      </c>
      <c r="I411">
        <v>2</v>
      </c>
      <c r="J411" s="6">
        <v>1089</v>
      </c>
      <c r="K411" s="3">
        <v>0</v>
      </c>
      <c r="L411" s="6">
        <v>2178</v>
      </c>
      <c r="M411" s="6">
        <v>1523.48</v>
      </c>
      <c r="N411" s="6">
        <v>654.52</v>
      </c>
      <c r="O411" t="s">
        <v>74</v>
      </c>
    </row>
    <row r="412" spans="1:15" x14ac:dyDescent="0.25">
      <c r="A412" t="s">
        <v>474</v>
      </c>
      <c r="B412" s="5">
        <v>45950</v>
      </c>
      <c r="C412" t="s">
        <v>88</v>
      </c>
      <c r="D412" t="s">
        <v>48</v>
      </c>
      <c r="E412" t="s">
        <v>57</v>
      </c>
      <c r="F412" t="s">
        <v>32</v>
      </c>
      <c r="G412" t="s">
        <v>62</v>
      </c>
      <c r="H412" t="s">
        <v>21</v>
      </c>
      <c r="I412">
        <v>3</v>
      </c>
      <c r="J412" s="6">
        <v>3561</v>
      </c>
      <c r="K412" s="3">
        <v>0.2</v>
      </c>
      <c r="L412" s="6">
        <v>8546.4</v>
      </c>
      <c r="M412" s="6">
        <v>6790.32</v>
      </c>
      <c r="N412" s="6">
        <v>1756.08</v>
      </c>
      <c r="O412" t="s">
        <v>27</v>
      </c>
    </row>
    <row r="413" spans="1:15" x14ac:dyDescent="0.25">
      <c r="A413" t="s">
        <v>475</v>
      </c>
      <c r="B413" s="5">
        <v>45952</v>
      </c>
      <c r="C413" t="s">
        <v>45</v>
      </c>
      <c r="D413" t="s">
        <v>48</v>
      </c>
      <c r="E413" t="s">
        <v>40</v>
      </c>
      <c r="F413" t="s">
        <v>32</v>
      </c>
      <c r="G413" t="s">
        <v>41</v>
      </c>
      <c r="H413" t="s">
        <v>42</v>
      </c>
      <c r="I413">
        <v>2</v>
      </c>
      <c r="J413" s="6">
        <v>9523</v>
      </c>
      <c r="K413" s="3">
        <v>0</v>
      </c>
      <c r="L413" s="6">
        <v>19046</v>
      </c>
      <c r="M413" s="6">
        <v>14632.21</v>
      </c>
      <c r="N413" s="6">
        <v>4413.79</v>
      </c>
      <c r="O413" t="s">
        <v>22</v>
      </c>
    </row>
    <row r="414" spans="1:15" x14ac:dyDescent="0.25">
      <c r="A414" t="s">
        <v>476</v>
      </c>
      <c r="B414" s="5">
        <v>45953</v>
      </c>
      <c r="C414" t="s">
        <v>88</v>
      </c>
      <c r="D414" t="s">
        <v>39</v>
      </c>
      <c r="E414" t="s">
        <v>57</v>
      </c>
      <c r="F414" t="s">
        <v>19</v>
      </c>
      <c r="G414" t="s">
        <v>41</v>
      </c>
      <c r="H414" t="s">
        <v>42</v>
      </c>
      <c r="I414">
        <v>8</v>
      </c>
      <c r="J414" s="6">
        <v>8566</v>
      </c>
      <c r="K414" s="3">
        <v>0</v>
      </c>
      <c r="L414" s="6">
        <v>68528</v>
      </c>
      <c r="M414" s="6">
        <v>44241.68</v>
      </c>
      <c r="N414" s="6">
        <v>24286.32</v>
      </c>
      <c r="O414" t="s">
        <v>43</v>
      </c>
    </row>
    <row r="415" spans="1:15" x14ac:dyDescent="0.25">
      <c r="A415" t="s">
        <v>477</v>
      </c>
      <c r="B415" s="5">
        <v>45955</v>
      </c>
      <c r="C415" t="s">
        <v>91</v>
      </c>
      <c r="D415" t="s">
        <v>17</v>
      </c>
      <c r="E415" t="s">
        <v>46</v>
      </c>
      <c r="F415" t="s">
        <v>19</v>
      </c>
      <c r="G415" t="s">
        <v>41</v>
      </c>
      <c r="H415" t="s">
        <v>42</v>
      </c>
      <c r="I415">
        <v>4</v>
      </c>
      <c r="J415" s="6">
        <v>9356</v>
      </c>
      <c r="K415" s="3">
        <v>0</v>
      </c>
      <c r="L415" s="6">
        <v>37424</v>
      </c>
      <c r="M415" s="6">
        <v>29170.69</v>
      </c>
      <c r="N415" s="6">
        <v>8253.31</v>
      </c>
      <c r="O415" t="s">
        <v>58</v>
      </c>
    </row>
    <row r="416" spans="1:15" x14ac:dyDescent="0.25">
      <c r="A416" t="s">
        <v>478</v>
      </c>
      <c r="B416" s="5">
        <v>45956</v>
      </c>
      <c r="C416" t="s">
        <v>96</v>
      </c>
      <c r="D416" t="s">
        <v>48</v>
      </c>
      <c r="E416" t="s">
        <v>31</v>
      </c>
      <c r="F416" t="s">
        <v>19</v>
      </c>
      <c r="G416" t="s">
        <v>77</v>
      </c>
      <c r="H416" t="s">
        <v>53</v>
      </c>
      <c r="I416">
        <v>8</v>
      </c>
      <c r="J416" s="6">
        <v>17477</v>
      </c>
      <c r="K416" s="3">
        <v>0.05</v>
      </c>
      <c r="L416" s="6">
        <v>132825.20000000001</v>
      </c>
      <c r="M416" s="6">
        <v>85987.82</v>
      </c>
      <c r="N416" s="6">
        <v>46837.38</v>
      </c>
      <c r="O416" t="s">
        <v>27</v>
      </c>
    </row>
    <row r="417" spans="1:15" x14ac:dyDescent="0.25">
      <c r="A417" t="s">
        <v>479</v>
      </c>
      <c r="B417" s="5">
        <v>45958</v>
      </c>
      <c r="C417" t="s">
        <v>29</v>
      </c>
      <c r="D417" t="s">
        <v>48</v>
      </c>
      <c r="E417" t="s">
        <v>49</v>
      </c>
      <c r="F417" t="s">
        <v>19</v>
      </c>
      <c r="G417" t="s">
        <v>82</v>
      </c>
      <c r="H417" t="s">
        <v>21</v>
      </c>
      <c r="I417">
        <v>4</v>
      </c>
      <c r="J417" s="6">
        <v>1170</v>
      </c>
      <c r="K417" s="3">
        <v>0</v>
      </c>
      <c r="L417" s="6">
        <v>4680</v>
      </c>
      <c r="M417" s="6">
        <v>3608.15</v>
      </c>
      <c r="N417" s="6">
        <v>1071.8499999999999</v>
      </c>
      <c r="O417" t="s">
        <v>27</v>
      </c>
    </row>
    <row r="418" spans="1:15" x14ac:dyDescent="0.25">
      <c r="A418" t="s">
        <v>480</v>
      </c>
      <c r="B418" s="5">
        <v>45958</v>
      </c>
      <c r="C418" t="s">
        <v>60</v>
      </c>
      <c r="D418" t="s">
        <v>48</v>
      </c>
      <c r="E418" t="s">
        <v>25</v>
      </c>
      <c r="F418" t="s">
        <v>32</v>
      </c>
      <c r="G418" t="s">
        <v>86</v>
      </c>
      <c r="H418" t="s">
        <v>42</v>
      </c>
      <c r="I418">
        <v>2</v>
      </c>
      <c r="J418" s="6">
        <v>12718</v>
      </c>
      <c r="K418" s="3">
        <v>0.1</v>
      </c>
      <c r="L418" s="6">
        <v>22892.400000000001</v>
      </c>
      <c r="M418" s="6">
        <v>14147.21</v>
      </c>
      <c r="N418" s="6">
        <v>8745.19</v>
      </c>
      <c r="O418" t="s">
        <v>74</v>
      </c>
    </row>
    <row r="419" spans="1:15" x14ac:dyDescent="0.25">
      <c r="A419" t="s">
        <v>481</v>
      </c>
      <c r="B419" s="5">
        <v>45960</v>
      </c>
      <c r="C419" t="s">
        <v>51</v>
      </c>
      <c r="D419" t="s">
        <v>17</v>
      </c>
      <c r="E419" t="s">
        <v>36</v>
      </c>
      <c r="F419" t="s">
        <v>32</v>
      </c>
      <c r="G419" t="s">
        <v>62</v>
      </c>
      <c r="H419" t="s">
        <v>21</v>
      </c>
      <c r="I419">
        <v>4</v>
      </c>
      <c r="J419" s="6">
        <v>3385</v>
      </c>
      <c r="K419" s="3">
        <v>0.15</v>
      </c>
      <c r="L419" s="6">
        <v>11509</v>
      </c>
      <c r="M419" s="6">
        <v>7824.66</v>
      </c>
      <c r="N419" s="6">
        <v>3684.34</v>
      </c>
      <c r="O419" t="s">
        <v>22</v>
      </c>
    </row>
    <row r="420" spans="1:15" x14ac:dyDescent="0.25">
      <c r="A420" t="s">
        <v>482</v>
      </c>
      <c r="B420" s="5">
        <v>45961</v>
      </c>
      <c r="C420" t="s">
        <v>35</v>
      </c>
      <c r="D420" t="s">
        <v>39</v>
      </c>
      <c r="E420" t="s">
        <v>36</v>
      </c>
      <c r="F420" t="s">
        <v>26</v>
      </c>
      <c r="G420" t="s">
        <v>82</v>
      </c>
      <c r="H420" t="s">
        <v>21</v>
      </c>
      <c r="I420">
        <v>5</v>
      </c>
      <c r="J420" s="6">
        <v>1223</v>
      </c>
      <c r="K420" s="3">
        <v>0</v>
      </c>
      <c r="L420" s="6">
        <v>6115</v>
      </c>
      <c r="M420" s="6">
        <v>3795.27</v>
      </c>
      <c r="N420" s="6">
        <v>2319.73</v>
      </c>
      <c r="O420" t="s">
        <v>74</v>
      </c>
    </row>
    <row r="421" spans="1:15" x14ac:dyDescent="0.25">
      <c r="A421" t="s">
        <v>483</v>
      </c>
      <c r="B421" s="5">
        <v>45961</v>
      </c>
      <c r="C421" t="s">
        <v>45</v>
      </c>
      <c r="D421" t="s">
        <v>17</v>
      </c>
      <c r="E421" t="s">
        <v>31</v>
      </c>
      <c r="F421" t="s">
        <v>26</v>
      </c>
      <c r="G421" t="s">
        <v>62</v>
      </c>
      <c r="H421" t="s">
        <v>21</v>
      </c>
      <c r="I421">
        <v>5</v>
      </c>
      <c r="J421" s="6">
        <v>3767</v>
      </c>
      <c r="K421" s="3">
        <v>0</v>
      </c>
      <c r="L421" s="6">
        <v>18835</v>
      </c>
      <c r="M421" s="6">
        <v>12456.56</v>
      </c>
      <c r="N421" s="6">
        <v>6378.44</v>
      </c>
      <c r="O421" t="s">
        <v>43</v>
      </c>
    </row>
    <row r="422" spans="1:15" x14ac:dyDescent="0.25">
      <c r="A422" t="s">
        <v>484</v>
      </c>
      <c r="B422" s="5">
        <v>45962</v>
      </c>
      <c r="C422" t="s">
        <v>24</v>
      </c>
      <c r="D422" t="s">
        <v>30</v>
      </c>
      <c r="E422" t="s">
        <v>36</v>
      </c>
      <c r="F422" t="s">
        <v>32</v>
      </c>
      <c r="G422" t="s">
        <v>41</v>
      </c>
      <c r="H422" t="s">
        <v>42</v>
      </c>
      <c r="I422">
        <v>3</v>
      </c>
      <c r="J422" s="6">
        <v>8674</v>
      </c>
      <c r="K422" s="3">
        <v>0.15</v>
      </c>
      <c r="L422" s="6">
        <v>22118.7</v>
      </c>
      <c r="M422" s="6">
        <v>15476.98</v>
      </c>
      <c r="N422" s="6">
        <v>6641.72</v>
      </c>
      <c r="O422" t="s">
        <v>27</v>
      </c>
    </row>
    <row r="423" spans="1:15" x14ac:dyDescent="0.25">
      <c r="A423" t="s">
        <v>485</v>
      </c>
      <c r="B423" s="5">
        <v>45962</v>
      </c>
      <c r="C423" t="s">
        <v>88</v>
      </c>
      <c r="D423" t="s">
        <v>17</v>
      </c>
      <c r="E423" t="s">
        <v>57</v>
      </c>
      <c r="F423" t="s">
        <v>32</v>
      </c>
      <c r="G423" t="s">
        <v>52</v>
      </c>
      <c r="H423" t="s">
        <v>53</v>
      </c>
      <c r="I423">
        <v>6</v>
      </c>
      <c r="J423" s="6">
        <v>69512</v>
      </c>
      <c r="K423" s="3">
        <v>0.1</v>
      </c>
      <c r="L423" s="6">
        <v>375364.8</v>
      </c>
      <c r="M423" s="6">
        <v>294728.61</v>
      </c>
      <c r="N423" s="6">
        <v>80636.19</v>
      </c>
      <c r="O423" t="s">
        <v>43</v>
      </c>
    </row>
    <row r="424" spans="1:15" x14ac:dyDescent="0.25">
      <c r="A424" t="s">
        <v>486</v>
      </c>
      <c r="B424" s="5">
        <v>45963</v>
      </c>
      <c r="C424" t="s">
        <v>38</v>
      </c>
      <c r="D424" t="s">
        <v>48</v>
      </c>
      <c r="E424" t="s">
        <v>57</v>
      </c>
      <c r="F424" t="s">
        <v>26</v>
      </c>
      <c r="G424" t="s">
        <v>62</v>
      </c>
      <c r="H424" t="s">
        <v>21</v>
      </c>
      <c r="I424">
        <v>1</v>
      </c>
      <c r="J424" s="6">
        <v>3326</v>
      </c>
      <c r="K424" s="3">
        <v>0.05</v>
      </c>
      <c r="L424" s="6">
        <v>3159.7</v>
      </c>
      <c r="M424" s="6">
        <v>1982.96</v>
      </c>
      <c r="N424" s="6">
        <v>1176.74</v>
      </c>
      <c r="O424" t="s">
        <v>22</v>
      </c>
    </row>
    <row r="425" spans="1:15" x14ac:dyDescent="0.25">
      <c r="A425" t="s">
        <v>487</v>
      </c>
      <c r="B425" s="5">
        <v>45964</v>
      </c>
      <c r="C425" t="s">
        <v>88</v>
      </c>
      <c r="D425" t="s">
        <v>39</v>
      </c>
      <c r="E425" t="s">
        <v>36</v>
      </c>
      <c r="F425" t="s">
        <v>32</v>
      </c>
      <c r="G425" t="s">
        <v>33</v>
      </c>
      <c r="H425" t="s">
        <v>21</v>
      </c>
      <c r="I425">
        <v>4</v>
      </c>
      <c r="J425" s="6">
        <v>4269</v>
      </c>
      <c r="K425" s="3">
        <v>0</v>
      </c>
      <c r="L425" s="6">
        <v>17076</v>
      </c>
      <c r="M425" s="6">
        <v>11067.44</v>
      </c>
      <c r="N425" s="6">
        <v>6008.56</v>
      </c>
      <c r="O425" t="s">
        <v>74</v>
      </c>
    </row>
    <row r="426" spans="1:15" x14ac:dyDescent="0.25">
      <c r="A426" t="s">
        <v>488</v>
      </c>
      <c r="B426" s="5">
        <v>45964</v>
      </c>
      <c r="C426" t="s">
        <v>72</v>
      </c>
      <c r="D426" t="s">
        <v>39</v>
      </c>
      <c r="E426" t="s">
        <v>46</v>
      </c>
      <c r="F426" t="s">
        <v>26</v>
      </c>
      <c r="G426" t="s">
        <v>41</v>
      </c>
      <c r="H426" t="s">
        <v>42</v>
      </c>
      <c r="I426">
        <v>4</v>
      </c>
      <c r="J426" s="6">
        <v>9544</v>
      </c>
      <c r="K426" s="3">
        <v>0.05</v>
      </c>
      <c r="L426" s="6">
        <v>36267.199999999997</v>
      </c>
      <c r="M426" s="6">
        <v>28086.33</v>
      </c>
      <c r="N426" s="6">
        <v>8180.87</v>
      </c>
      <c r="O426" t="s">
        <v>74</v>
      </c>
    </row>
    <row r="427" spans="1:15" x14ac:dyDescent="0.25">
      <c r="A427" t="s">
        <v>489</v>
      </c>
      <c r="B427" s="5">
        <v>45964</v>
      </c>
      <c r="C427" t="s">
        <v>96</v>
      </c>
      <c r="D427" t="s">
        <v>39</v>
      </c>
      <c r="E427" t="s">
        <v>36</v>
      </c>
      <c r="F427" t="s">
        <v>26</v>
      </c>
      <c r="G427" t="s">
        <v>77</v>
      </c>
      <c r="H427" t="s">
        <v>53</v>
      </c>
      <c r="I427">
        <v>2</v>
      </c>
      <c r="J427" s="6">
        <v>18409</v>
      </c>
      <c r="K427" s="3">
        <v>0.05</v>
      </c>
      <c r="L427" s="6">
        <v>34977.1</v>
      </c>
      <c r="M427" s="6">
        <v>25428.17</v>
      </c>
      <c r="N427" s="6">
        <v>9548.93</v>
      </c>
      <c r="O427" t="s">
        <v>58</v>
      </c>
    </row>
    <row r="428" spans="1:15" x14ac:dyDescent="0.25">
      <c r="A428" t="s">
        <v>490</v>
      </c>
      <c r="B428" s="5">
        <v>45967</v>
      </c>
      <c r="C428" t="s">
        <v>67</v>
      </c>
      <c r="D428" t="s">
        <v>17</v>
      </c>
      <c r="E428" t="s">
        <v>49</v>
      </c>
      <c r="F428" t="s">
        <v>19</v>
      </c>
      <c r="G428" t="s">
        <v>62</v>
      </c>
      <c r="H428" t="s">
        <v>21</v>
      </c>
      <c r="I428">
        <v>8</v>
      </c>
      <c r="J428" s="6">
        <v>3612</v>
      </c>
      <c r="K428" s="3">
        <v>0</v>
      </c>
      <c r="L428" s="6">
        <v>28896</v>
      </c>
      <c r="M428" s="6">
        <v>20799.03</v>
      </c>
      <c r="N428" s="6">
        <v>8096.97</v>
      </c>
      <c r="O428" t="s">
        <v>74</v>
      </c>
    </row>
    <row r="429" spans="1:15" x14ac:dyDescent="0.25">
      <c r="A429" t="s">
        <v>491</v>
      </c>
      <c r="B429" s="5">
        <v>45968</v>
      </c>
      <c r="C429" t="s">
        <v>45</v>
      </c>
      <c r="D429" t="s">
        <v>39</v>
      </c>
      <c r="E429" t="s">
        <v>31</v>
      </c>
      <c r="F429" t="s">
        <v>26</v>
      </c>
      <c r="G429" t="s">
        <v>41</v>
      </c>
      <c r="H429" t="s">
        <v>42</v>
      </c>
      <c r="I429">
        <v>4</v>
      </c>
      <c r="J429" s="6">
        <v>8802</v>
      </c>
      <c r="K429" s="3">
        <v>0.2</v>
      </c>
      <c r="L429" s="6">
        <v>28166.400000000001</v>
      </c>
      <c r="M429" s="6">
        <v>21327.91</v>
      </c>
      <c r="N429" s="6">
        <v>6838.49</v>
      </c>
      <c r="O429" t="s">
        <v>58</v>
      </c>
    </row>
    <row r="430" spans="1:15" x14ac:dyDescent="0.25">
      <c r="A430" t="s">
        <v>492</v>
      </c>
      <c r="B430" s="5">
        <v>45968</v>
      </c>
      <c r="C430" t="s">
        <v>69</v>
      </c>
      <c r="D430" t="s">
        <v>17</v>
      </c>
      <c r="E430" t="s">
        <v>46</v>
      </c>
      <c r="F430" t="s">
        <v>32</v>
      </c>
      <c r="G430" t="s">
        <v>20</v>
      </c>
      <c r="H430" t="s">
        <v>21</v>
      </c>
      <c r="I430">
        <v>6</v>
      </c>
      <c r="J430" s="6">
        <v>2255</v>
      </c>
      <c r="K430" s="3">
        <v>0.05</v>
      </c>
      <c r="L430" s="6">
        <v>12853.5</v>
      </c>
      <c r="M430" s="6">
        <v>10325.040000000001</v>
      </c>
      <c r="N430" s="6">
        <v>2528.46</v>
      </c>
      <c r="O430" t="s">
        <v>74</v>
      </c>
    </row>
    <row r="431" spans="1:15" x14ac:dyDescent="0.25">
      <c r="A431" t="s">
        <v>493</v>
      </c>
      <c r="B431" s="5">
        <v>45968</v>
      </c>
      <c r="C431" t="s">
        <v>29</v>
      </c>
      <c r="D431" t="s">
        <v>17</v>
      </c>
      <c r="E431" t="s">
        <v>40</v>
      </c>
      <c r="F431" t="s">
        <v>19</v>
      </c>
      <c r="G431" t="s">
        <v>64</v>
      </c>
      <c r="H431" t="s">
        <v>53</v>
      </c>
      <c r="I431">
        <v>4</v>
      </c>
      <c r="J431" s="6">
        <v>25783</v>
      </c>
      <c r="K431" s="3">
        <v>0.05</v>
      </c>
      <c r="L431" s="6">
        <v>97975.4</v>
      </c>
      <c r="M431" s="6">
        <v>69296.7</v>
      </c>
      <c r="N431" s="6">
        <v>28678.7</v>
      </c>
      <c r="O431" t="s">
        <v>58</v>
      </c>
    </row>
    <row r="432" spans="1:15" x14ac:dyDescent="0.25">
      <c r="A432" t="s">
        <v>494</v>
      </c>
      <c r="B432" s="5">
        <v>45968</v>
      </c>
      <c r="C432" t="s">
        <v>91</v>
      </c>
      <c r="D432" t="s">
        <v>17</v>
      </c>
      <c r="E432" t="s">
        <v>36</v>
      </c>
      <c r="F432" t="s">
        <v>26</v>
      </c>
      <c r="G432" t="s">
        <v>33</v>
      </c>
      <c r="H432" t="s">
        <v>21</v>
      </c>
      <c r="I432">
        <v>6</v>
      </c>
      <c r="J432" s="6">
        <v>4430</v>
      </c>
      <c r="K432" s="3">
        <v>0.15</v>
      </c>
      <c r="L432" s="6">
        <v>22593</v>
      </c>
      <c r="M432" s="6">
        <v>13561.95</v>
      </c>
      <c r="N432" s="6">
        <v>9031.0499999999993</v>
      </c>
      <c r="O432" t="s">
        <v>22</v>
      </c>
    </row>
    <row r="433" spans="1:15" x14ac:dyDescent="0.25">
      <c r="A433" t="s">
        <v>495</v>
      </c>
      <c r="B433" s="5">
        <v>45969</v>
      </c>
      <c r="C433" t="s">
        <v>91</v>
      </c>
      <c r="D433" t="s">
        <v>48</v>
      </c>
      <c r="E433" t="s">
        <v>25</v>
      </c>
      <c r="F433" t="s">
        <v>26</v>
      </c>
      <c r="G433" t="s">
        <v>20</v>
      </c>
      <c r="H433" t="s">
        <v>21</v>
      </c>
      <c r="I433">
        <v>5</v>
      </c>
      <c r="J433" s="6">
        <v>2508</v>
      </c>
      <c r="K433" s="3">
        <v>0.15</v>
      </c>
      <c r="L433" s="6">
        <v>10659</v>
      </c>
      <c r="M433" s="6">
        <v>7057.85</v>
      </c>
      <c r="N433" s="6">
        <v>3601.15</v>
      </c>
      <c r="O433" t="s">
        <v>27</v>
      </c>
    </row>
    <row r="434" spans="1:15" x14ac:dyDescent="0.25">
      <c r="A434" t="s">
        <v>496</v>
      </c>
      <c r="B434" s="5">
        <v>45970</v>
      </c>
      <c r="C434" t="s">
        <v>91</v>
      </c>
      <c r="D434" t="s">
        <v>39</v>
      </c>
      <c r="E434" t="s">
        <v>25</v>
      </c>
      <c r="F434" t="s">
        <v>32</v>
      </c>
      <c r="G434" t="s">
        <v>107</v>
      </c>
      <c r="H434" t="s">
        <v>108</v>
      </c>
      <c r="I434">
        <v>4</v>
      </c>
      <c r="J434" s="6">
        <v>14678</v>
      </c>
      <c r="K434" s="3">
        <v>0.1</v>
      </c>
      <c r="L434" s="6">
        <v>52840.800000000003</v>
      </c>
      <c r="M434" s="6">
        <v>37652.76</v>
      </c>
      <c r="N434" s="6">
        <v>15188.04</v>
      </c>
      <c r="O434" t="s">
        <v>74</v>
      </c>
    </row>
    <row r="435" spans="1:15" x14ac:dyDescent="0.25">
      <c r="A435" t="s">
        <v>497</v>
      </c>
      <c r="B435" s="5">
        <v>45970</v>
      </c>
      <c r="C435" t="s">
        <v>60</v>
      </c>
      <c r="D435" t="s">
        <v>30</v>
      </c>
      <c r="E435" t="s">
        <v>49</v>
      </c>
      <c r="F435" t="s">
        <v>26</v>
      </c>
      <c r="G435" t="s">
        <v>52</v>
      </c>
      <c r="H435" t="s">
        <v>53</v>
      </c>
      <c r="I435">
        <v>8</v>
      </c>
      <c r="J435" s="6">
        <v>64740</v>
      </c>
      <c r="K435" s="3">
        <v>0.05</v>
      </c>
      <c r="L435" s="6">
        <v>492024</v>
      </c>
      <c r="M435" s="6">
        <v>380151.03999999998</v>
      </c>
      <c r="N435" s="6">
        <v>111872.96000000001</v>
      </c>
      <c r="O435" t="s">
        <v>43</v>
      </c>
    </row>
    <row r="436" spans="1:15" x14ac:dyDescent="0.25">
      <c r="A436" t="s">
        <v>498</v>
      </c>
      <c r="B436" s="5">
        <v>45970</v>
      </c>
      <c r="C436" t="s">
        <v>67</v>
      </c>
      <c r="D436" t="s">
        <v>30</v>
      </c>
      <c r="E436" t="s">
        <v>36</v>
      </c>
      <c r="F436" t="s">
        <v>19</v>
      </c>
      <c r="G436" t="s">
        <v>86</v>
      </c>
      <c r="H436" t="s">
        <v>42</v>
      </c>
      <c r="I436">
        <v>6</v>
      </c>
      <c r="J436" s="6">
        <v>11250</v>
      </c>
      <c r="K436" s="3">
        <v>0.1</v>
      </c>
      <c r="L436" s="6">
        <v>60750</v>
      </c>
      <c r="M436" s="6">
        <v>48036.57</v>
      </c>
      <c r="N436" s="6">
        <v>12713.43</v>
      </c>
      <c r="O436" t="s">
        <v>43</v>
      </c>
    </row>
    <row r="437" spans="1:15" x14ac:dyDescent="0.25">
      <c r="A437" t="s">
        <v>499</v>
      </c>
      <c r="B437" s="5">
        <v>45970</v>
      </c>
      <c r="C437" t="s">
        <v>24</v>
      </c>
      <c r="D437" t="s">
        <v>17</v>
      </c>
      <c r="E437" t="s">
        <v>18</v>
      </c>
      <c r="F437" t="s">
        <v>26</v>
      </c>
      <c r="G437" t="s">
        <v>82</v>
      </c>
      <c r="H437" t="s">
        <v>21</v>
      </c>
      <c r="I437">
        <v>1</v>
      </c>
      <c r="J437" s="6">
        <v>1281</v>
      </c>
      <c r="K437" s="3">
        <v>0</v>
      </c>
      <c r="L437" s="6">
        <v>1281</v>
      </c>
      <c r="M437" s="6">
        <v>775.64</v>
      </c>
      <c r="N437" s="6">
        <v>505.36</v>
      </c>
      <c r="O437" t="s">
        <v>43</v>
      </c>
    </row>
    <row r="438" spans="1:15" x14ac:dyDescent="0.25">
      <c r="A438" t="s">
        <v>500</v>
      </c>
      <c r="B438" s="5">
        <v>45972</v>
      </c>
      <c r="C438" t="s">
        <v>91</v>
      </c>
      <c r="D438" t="s">
        <v>17</v>
      </c>
      <c r="E438" t="s">
        <v>46</v>
      </c>
      <c r="F438" t="s">
        <v>19</v>
      </c>
      <c r="G438" t="s">
        <v>41</v>
      </c>
      <c r="H438" t="s">
        <v>42</v>
      </c>
      <c r="I438">
        <v>7</v>
      </c>
      <c r="J438" s="6">
        <v>8800</v>
      </c>
      <c r="K438" s="3">
        <v>0.1</v>
      </c>
      <c r="L438" s="6">
        <v>55440</v>
      </c>
      <c r="M438" s="6">
        <v>35635.64</v>
      </c>
      <c r="N438" s="6">
        <v>19804.36</v>
      </c>
      <c r="O438" t="s">
        <v>58</v>
      </c>
    </row>
    <row r="439" spans="1:15" x14ac:dyDescent="0.25">
      <c r="A439" t="s">
        <v>501</v>
      </c>
      <c r="B439" s="5">
        <v>45975</v>
      </c>
      <c r="C439" t="s">
        <v>29</v>
      </c>
      <c r="D439" t="s">
        <v>17</v>
      </c>
      <c r="E439" t="s">
        <v>57</v>
      </c>
      <c r="F439" t="s">
        <v>32</v>
      </c>
      <c r="G439" t="s">
        <v>41</v>
      </c>
      <c r="H439" t="s">
        <v>42</v>
      </c>
      <c r="I439">
        <v>3</v>
      </c>
      <c r="J439" s="6">
        <v>9941</v>
      </c>
      <c r="K439" s="3">
        <v>0.15</v>
      </c>
      <c r="L439" s="6">
        <v>25349.55</v>
      </c>
      <c r="M439" s="6">
        <v>18883.7</v>
      </c>
      <c r="N439" s="6">
        <v>6465.85</v>
      </c>
      <c r="O439" t="s">
        <v>27</v>
      </c>
    </row>
    <row r="440" spans="1:15" x14ac:dyDescent="0.25">
      <c r="A440" t="s">
        <v>502</v>
      </c>
      <c r="B440" s="5">
        <v>45975</v>
      </c>
      <c r="C440" t="s">
        <v>91</v>
      </c>
      <c r="D440" t="s">
        <v>39</v>
      </c>
      <c r="E440" t="s">
        <v>49</v>
      </c>
      <c r="F440" t="s">
        <v>26</v>
      </c>
      <c r="G440" t="s">
        <v>64</v>
      </c>
      <c r="H440" t="s">
        <v>53</v>
      </c>
      <c r="I440">
        <v>8</v>
      </c>
      <c r="J440" s="6">
        <v>28100</v>
      </c>
      <c r="K440" s="3">
        <v>0</v>
      </c>
      <c r="L440" s="6">
        <v>224800</v>
      </c>
      <c r="M440" s="6">
        <v>168072.76</v>
      </c>
      <c r="N440" s="6">
        <v>56727.24</v>
      </c>
      <c r="O440" t="s">
        <v>43</v>
      </c>
    </row>
    <row r="441" spans="1:15" x14ac:dyDescent="0.25">
      <c r="A441" t="s">
        <v>503</v>
      </c>
      <c r="B441" s="5">
        <v>45975</v>
      </c>
      <c r="C441" t="s">
        <v>96</v>
      </c>
      <c r="D441" t="s">
        <v>17</v>
      </c>
      <c r="E441" t="s">
        <v>25</v>
      </c>
      <c r="F441" t="s">
        <v>26</v>
      </c>
      <c r="G441" t="s">
        <v>86</v>
      </c>
      <c r="H441" t="s">
        <v>42</v>
      </c>
      <c r="I441">
        <v>5</v>
      </c>
      <c r="J441" s="6">
        <v>11255</v>
      </c>
      <c r="K441" s="3">
        <v>0.1</v>
      </c>
      <c r="L441" s="6">
        <v>50647.5</v>
      </c>
      <c r="M441" s="6">
        <v>32666.47</v>
      </c>
      <c r="N441" s="6">
        <v>17981.03</v>
      </c>
      <c r="O441" t="s">
        <v>58</v>
      </c>
    </row>
    <row r="442" spans="1:15" x14ac:dyDescent="0.25">
      <c r="A442" t="s">
        <v>504</v>
      </c>
      <c r="B442" s="5">
        <v>45976</v>
      </c>
      <c r="C442" t="s">
        <v>96</v>
      </c>
      <c r="D442" t="s">
        <v>30</v>
      </c>
      <c r="E442" t="s">
        <v>57</v>
      </c>
      <c r="F442" t="s">
        <v>19</v>
      </c>
      <c r="G442" t="s">
        <v>33</v>
      </c>
      <c r="H442" t="s">
        <v>21</v>
      </c>
      <c r="I442">
        <v>1</v>
      </c>
      <c r="J442" s="6">
        <v>4932</v>
      </c>
      <c r="K442" s="3">
        <v>0</v>
      </c>
      <c r="L442" s="6">
        <v>4932</v>
      </c>
      <c r="M442" s="6">
        <v>3522.01</v>
      </c>
      <c r="N442" s="6">
        <v>1409.99</v>
      </c>
      <c r="O442" t="s">
        <v>22</v>
      </c>
    </row>
    <row r="443" spans="1:15" x14ac:dyDescent="0.25">
      <c r="A443" t="s">
        <v>505</v>
      </c>
      <c r="B443" s="5">
        <v>45976</v>
      </c>
      <c r="C443" t="s">
        <v>35</v>
      </c>
      <c r="D443" t="s">
        <v>39</v>
      </c>
      <c r="E443" t="s">
        <v>31</v>
      </c>
      <c r="F443" t="s">
        <v>32</v>
      </c>
      <c r="G443" t="s">
        <v>107</v>
      </c>
      <c r="H443" t="s">
        <v>108</v>
      </c>
      <c r="I443">
        <v>6</v>
      </c>
      <c r="J443" s="6">
        <v>14477</v>
      </c>
      <c r="K443" s="3">
        <v>0.1</v>
      </c>
      <c r="L443" s="6">
        <v>78175.8</v>
      </c>
      <c r="M443" s="6">
        <v>54356.75</v>
      </c>
      <c r="N443" s="6">
        <v>23819.05</v>
      </c>
      <c r="O443" t="s">
        <v>27</v>
      </c>
    </row>
    <row r="444" spans="1:15" x14ac:dyDescent="0.25">
      <c r="A444" t="s">
        <v>506</v>
      </c>
      <c r="B444" s="5">
        <v>45977</v>
      </c>
      <c r="C444" t="s">
        <v>16</v>
      </c>
      <c r="D444" t="s">
        <v>39</v>
      </c>
      <c r="E444" t="s">
        <v>36</v>
      </c>
      <c r="F444" t="s">
        <v>19</v>
      </c>
      <c r="G444" t="s">
        <v>77</v>
      </c>
      <c r="H444" t="s">
        <v>53</v>
      </c>
      <c r="I444">
        <v>6</v>
      </c>
      <c r="J444" s="6">
        <v>19708</v>
      </c>
      <c r="K444" s="3">
        <v>0.1</v>
      </c>
      <c r="L444" s="6">
        <v>106423.2</v>
      </c>
      <c r="M444" s="6">
        <v>79235.95</v>
      </c>
      <c r="N444" s="6">
        <v>27187.25</v>
      </c>
      <c r="O444" t="s">
        <v>74</v>
      </c>
    </row>
    <row r="445" spans="1:15" x14ac:dyDescent="0.25">
      <c r="A445" t="s">
        <v>507</v>
      </c>
      <c r="B445" s="5">
        <v>45977</v>
      </c>
      <c r="C445" t="s">
        <v>29</v>
      </c>
      <c r="D445" t="s">
        <v>30</v>
      </c>
      <c r="E445" t="s">
        <v>36</v>
      </c>
      <c r="F445" t="s">
        <v>19</v>
      </c>
      <c r="G445" t="s">
        <v>62</v>
      </c>
      <c r="H445" t="s">
        <v>21</v>
      </c>
      <c r="I445">
        <v>4</v>
      </c>
      <c r="J445" s="6">
        <v>3711</v>
      </c>
      <c r="K445" s="3">
        <v>0.1</v>
      </c>
      <c r="L445" s="6">
        <v>13359.6</v>
      </c>
      <c r="M445" s="6">
        <v>9435.26</v>
      </c>
      <c r="N445" s="6">
        <v>3924.34</v>
      </c>
      <c r="O445" t="s">
        <v>27</v>
      </c>
    </row>
    <row r="446" spans="1:15" x14ac:dyDescent="0.25">
      <c r="A446" t="s">
        <v>508</v>
      </c>
      <c r="B446" s="5">
        <v>45977</v>
      </c>
      <c r="C446" t="s">
        <v>38</v>
      </c>
      <c r="D446" t="s">
        <v>17</v>
      </c>
      <c r="E446" t="s">
        <v>36</v>
      </c>
      <c r="F446" t="s">
        <v>19</v>
      </c>
      <c r="G446" t="s">
        <v>52</v>
      </c>
      <c r="H446" t="s">
        <v>53</v>
      </c>
      <c r="I446">
        <v>1</v>
      </c>
      <c r="J446" s="6">
        <v>67794</v>
      </c>
      <c r="K446" s="3">
        <v>0.1</v>
      </c>
      <c r="L446" s="6">
        <v>61014.6</v>
      </c>
      <c r="M446" s="6">
        <v>42938.239999999998</v>
      </c>
      <c r="N446" s="6">
        <v>18076.36</v>
      </c>
      <c r="O446" t="s">
        <v>74</v>
      </c>
    </row>
    <row r="447" spans="1:15" x14ac:dyDescent="0.25">
      <c r="A447" t="s">
        <v>509</v>
      </c>
      <c r="B447" s="5">
        <v>45977</v>
      </c>
      <c r="C447" t="s">
        <v>16</v>
      </c>
      <c r="D447" t="s">
        <v>48</v>
      </c>
      <c r="E447" t="s">
        <v>57</v>
      </c>
      <c r="F447" t="s">
        <v>19</v>
      </c>
      <c r="G447" t="s">
        <v>52</v>
      </c>
      <c r="H447" t="s">
        <v>53</v>
      </c>
      <c r="I447">
        <v>8</v>
      </c>
      <c r="J447" s="6">
        <v>62189</v>
      </c>
      <c r="K447" s="3">
        <v>0.15</v>
      </c>
      <c r="L447" s="6">
        <v>422885.2</v>
      </c>
      <c r="M447" s="6">
        <v>260638.1</v>
      </c>
      <c r="N447" s="6">
        <v>162247.1</v>
      </c>
      <c r="O447" t="s">
        <v>74</v>
      </c>
    </row>
    <row r="448" spans="1:15" x14ac:dyDescent="0.25">
      <c r="A448" t="s">
        <v>510</v>
      </c>
      <c r="B448" s="5">
        <v>45978</v>
      </c>
      <c r="C448" t="s">
        <v>24</v>
      </c>
      <c r="D448" t="s">
        <v>48</v>
      </c>
      <c r="E448" t="s">
        <v>18</v>
      </c>
      <c r="F448" t="s">
        <v>32</v>
      </c>
      <c r="G448" t="s">
        <v>64</v>
      </c>
      <c r="H448" t="s">
        <v>53</v>
      </c>
      <c r="I448">
        <v>4</v>
      </c>
      <c r="J448" s="6">
        <v>27517</v>
      </c>
      <c r="K448" s="3">
        <v>0.05</v>
      </c>
      <c r="L448" s="6">
        <v>104564.6</v>
      </c>
      <c r="M448" s="6">
        <v>63712.81</v>
      </c>
      <c r="N448" s="6">
        <v>40851.79</v>
      </c>
      <c r="O448" t="s">
        <v>27</v>
      </c>
    </row>
    <row r="449" spans="1:15" x14ac:dyDescent="0.25">
      <c r="A449" t="s">
        <v>511</v>
      </c>
      <c r="B449" s="5">
        <v>45978</v>
      </c>
      <c r="C449" t="s">
        <v>79</v>
      </c>
      <c r="D449" t="s">
        <v>17</v>
      </c>
      <c r="E449" t="s">
        <v>40</v>
      </c>
      <c r="F449" t="s">
        <v>19</v>
      </c>
      <c r="G449" t="s">
        <v>41</v>
      </c>
      <c r="H449" t="s">
        <v>42</v>
      </c>
      <c r="I449">
        <v>8</v>
      </c>
      <c r="J449" s="6">
        <v>9303</v>
      </c>
      <c r="K449" s="3">
        <v>0</v>
      </c>
      <c r="L449" s="6">
        <v>74424</v>
      </c>
      <c r="M449" s="6">
        <v>59171.23</v>
      </c>
      <c r="N449" s="6">
        <v>15252.77</v>
      </c>
      <c r="O449" t="s">
        <v>58</v>
      </c>
    </row>
    <row r="450" spans="1:15" x14ac:dyDescent="0.25">
      <c r="A450" t="s">
        <v>512</v>
      </c>
      <c r="B450" s="5">
        <v>45978</v>
      </c>
      <c r="C450" t="s">
        <v>88</v>
      </c>
      <c r="D450" t="s">
        <v>48</v>
      </c>
      <c r="E450" t="s">
        <v>31</v>
      </c>
      <c r="F450" t="s">
        <v>26</v>
      </c>
      <c r="G450" t="s">
        <v>86</v>
      </c>
      <c r="H450" t="s">
        <v>42</v>
      </c>
      <c r="I450">
        <v>3</v>
      </c>
      <c r="J450" s="6">
        <v>11686</v>
      </c>
      <c r="K450" s="3">
        <v>0.15</v>
      </c>
      <c r="L450" s="6">
        <v>29799.3</v>
      </c>
      <c r="M450" s="6">
        <v>23304.58</v>
      </c>
      <c r="N450" s="6">
        <v>6494.72</v>
      </c>
      <c r="O450" t="s">
        <v>58</v>
      </c>
    </row>
    <row r="451" spans="1:15" x14ac:dyDescent="0.25">
      <c r="A451" t="s">
        <v>513</v>
      </c>
      <c r="B451" s="5">
        <v>45979</v>
      </c>
      <c r="C451" t="s">
        <v>51</v>
      </c>
      <c r="D451" t="s">
        <v>48</v>
      </c>
      <c r="E451" t="s">
        <v>31</v>
      </c>
      <c r="F451" t="s">
        <v>26</v>
      </c>
      <c r="G451" t="s">
        <v>77</v>
      </c>
      <c r="H451" t="s">
        <v>53</v>
      </c>
      <c r="I451">
        <v>2</v>
      </c>
      <c r="J451" s="6">
        <v>17650</v>
      </c>
      <c r="K451" s="3">
        <v>0.05</v>
      </c>
      <c r="L451" s="6">
        <v>33535</v>
      </c>
      <c r="M451" s="6">
        <v>21835.46</v>
      </c>
      <c r="N451" s="6">
        <v>11699.54</v>
      </c>
      <c r="O451" t="s">
        <v>58</v>
      </c>
    </row>
    <row r="452" spans="1:15" x14ac:dyDescent="0.25">
      <c r="A452" t="s">
        <v>514</v>
      </c>
      <c r="B452" s="5">
        <v>45982</v>
      </c>
      <c r="C452" t="s">
        <v>45</v>
      </c>
      <c r="D452" t="s">
        <v>30</v>
      </c>
      <c r="E452" t="s">
        <v>40</v>
      </c>
      <c r="F452" t="s">
        <v>19</v>
      </c>
      <c r="G452" t="s">
        <v>64</v>
      </c>
      <c r="H452" t="s">
        <v>53</v>
      </c>
      <c r="I452">
        <v>8</v>
      </c>
      <c r="J452" s="6">
        <v>29470</v>
      </c>
      <c r="K452" s="3">
        <v>0.15</v>
      </c>
      <c r="L452" s="6">
        <v>200396</v>
      </c>
      <c r="M452" s="6">
        <v>121584.44</v>
      </c>
      <c r="N452" s="6">
        <v>78811.56</v>
      </c>
      <c r="O452" t="s">
        <v>22</v>
      </c>
    </row>
    <row r="453" spans="1:15" x14ac:dyDescent="0.25">
      <c r="A453" t="s">
        <v>515</v>
      </c>
      <c r="B453" s="5">
        <v>45984</v>
      </c>
      <c r="C453" t="s">
        <v>38</v>
      </c>
      <c r="D453" t="s">
        <v>39</v>
      </c>
      <c r="E453" t="s">
        <v>31</v>
      </c>
      <c r="F453" t="s">
        <v>19</v>
      </c>
      <c r="G453" t="s">
        <v>86</v>
      </c>
      <c r="H453" t="s">
        <v>42</v>
      </c>
      <c r="I453">
        <v>3</v>
      </c>
      <c r="J453" s="6">
        <v>12719</v>
      </c>
      <c r="K453" s="3">
        <v>0</v>
      </c>
      <c r="L453" s="6">
        <v>38157</v>
      </c>
      <c r="M453" s="6">
        <v>28758.04</v>
      </c>
      <c r="N453" s="6">
        <v>9398.9599999999991</v>
      </c>
      <c r="O453" t="s">
        <v>22</v>
      </c>
    </row>
    <row r="454" spans="1:15" x14ac:dyDescent="0.25">
      <c r="A454" t="s">
        <v>516</v>
      </c>
      <c r="B454" s="5">
        <v>45985</v>
      </c>
      <c r="C454" t="s">
        <v>45</v>
      </c>
      <c r="D454" t="s">
        <v>48</v>
      </c>
      <c r="E454" t="s">
        <v>57</v>
      </c>
      <c r="F454" t="s">
        <v>26</v>
      </c>
      <c r="G454" t="s">
        <v>82</v>
      </c>
      <c r="H454" t="s">
        <v>21</v>
      </c>
      <c r="I454">
        <v>5</v>
      </c>
      <c r="J454" s="6">
        <v>1185</v>
      </c>
      <c r="K454" s="3">
        <v>0.15</v>
      </c>
      <c r="L454" s="6">
        <v>5036.25</v>
      </c>
      <c r="M454" s="6">
        <v>4011.27</v>
      </c>
      <c r="N454" s="6">
        <v>1024.98</v>
      </c>
      <c r="O454" t="s">
        <v>58</v>
      </c>
    </row>
    <row r="455" spans="1:15" x14ac:dyDescent="0.25">
      <c r="A455" t="s">
        <v>517</v>
      </c>
      <c r="B455" s="5">
        <v>45985</v>
      </c>
      <c r="C455" t="s">
        <v>45</v>
      </c>
      <c r="D455" t="s">
        <v>48</v>
      </c>
      <c r="E455" t="s">
        <v>40</v>
      </c>
      <c r="F455" t="s">
        <v>32</v>
      </c>
      <c r="G455" t="s">
        <v>64</v>
      </c>
      <c r="H455" t="s">
        <v>53</v>
      </c>
      <c r="I455">
        <v>6</v>
      </c>
      <c r="J455" s="6">
        <v>28699</v>
      </c>
      <c r="K455" s="3">
        <v>0.1</v>
      </c>
      <c r="L455" s="6">
        <v>154974.6</v>
      </c>
      <c r="M455" s="6">
        <v>121379.62</v>
      </c>
      <c r="N455" s="6">
        <v>33594.980000000003</v>
      </c>
      <c r="O455" t="s">
        <v>74</v>
      </c>
    </row>
    <row r="456" spans="1:15" x14ac:dyDescent="0.25">
      <c r="A456" t="s">
        <v>518</v>
      </c>
      <c r="B456" s="5">
        <v>45985</v>
      </c>
      <c r="C456" t="s">
        <v>16</v>
      </c>
      <c r="D456" t="s">
        <v>17</v>
      </c>
      <c r="E456" t="s">
        <v>31</v>
      </c>
      <c r="F456" t="s">
        <v>19</v>
      </c>
      <c r="G456" t="s">
        <v>20</v>
      </c>
      <c r="H456" t="s">
        <v>21</v>
      </c>
      <c r="I456">
        <v>3</v>
      </c>
      <c r="J456" s="6">
        <v>2738</v>
      </c>
      <c r="K456" s="3">
        <v>0</v>
      </c>
      <c r="L456" s="6">
        <v>8214</v>
      </c>
      <c r="M456" s="6">
        <v>5691.98</v>
      </c>
      <c r="N456" s="6">
        <v>2522.02</v>
      </c>
      <c r="O456" t="s">
        <v>27</v>
      </c>
    </row>
    <row r="457" spans="1:15" x14ac:dyDescent="0.25">
      <c r="A457" t="s">
        <v>519</v>
      </c>
      <c r="B457" s="5">
        <v>45985</v>
      </c>
      <c r="C457" t="s">
        <v>35</v>
      </c>
      <c r="D457" t="s">
        <v>30</v>
      </c>
      <c r="E457" t="s">
        <v>31</v>
      </c>
      <c r="F457" t="s">
        <v>32</v>
      </c>
      <c r="G457" t="s">
        <v>33</v>
      </c>
      <c r="H457" t="s">
        <v>21</v>
      </c>
      <c r="I457">
        <v>1</v>
      </c>
      <c r="J457" s="6">
        <v>4568</v>
      </c>
      <c r="K457" s="3">
        <v>0.1</v>
      </c>
      <c r="L457" s="6">
        <v>4111.2</v>
      </c>
      <c r="M457" s="6">
        <v>2850.33</v>
      </c>
      <c r="N457" s="6">
        <v>1260.8699999999999</v>
      </c>
      <c r="O457" t="s">
        <v>58</v>
      </c>
    </row>
    <row r="458" spans="1:15" x14ac:dyDescent="0.25">
      <c r="A458" t="s">
        <v>520</v>
      </c>
      <c r="B458" s="5">
        <v>45986</v>
      </c>
      <c r="C458" t="s">
        <v>60</v>
      </c>
      <c r="D458" t="s">
        <v>39</v>
      </c>
      <c r="E458" t="s">
        <v>18</v>
      </c>
      <c r="F458" t="s">
        <v>32</v>
      </c>
      <c r="G458" t="s">
        <v>77</v>
      </c>
      <c r="H458" t="s">
        <v>53</v>
      </c>
      <c r="I458">
        <v>7</v>
      </c>
      <c r="J458" s="6">
        <v>16940</v>
      </c>
      <c r="K458" s="3">
        <v>0</v>
      </c>
      <c r="L458" s="6">
        <v>118580</v>
      </c>
      <c r="M458" s="6">
        <v>87192.21</v>
      </c>
      <c r="N458" s="6">
        <v>31387.79</v>
      </c>
      <c r="O458" t="s">
        <v>27</v>
      </c>
    </row>
    <row r="459" spans="1:15" x14ac:dyDescent="0.25">
      <c r="A459" t="s">
        <v>521</v>
      </c>
      <c r="B459" s="5">
        <v>45987</v>
      </c>
      <c r="C459" t="s">
        <v>79</v>
      </c>
      <c r="D459" t="s">
        <v>39</v>
      </c>
      <c r="E459" t="s">
        <v>36</v>
      </c>
      <c r="F459" t="s">
        <v>26</v>
      </c>
      <c r="G459" t="s">
        <v>77</v>
      </c>
      <c r="H459" t="s">
        <v>53</v>
      </c>
      <c r="I459">
        <v>3</v>
      </c>
      <c r="J459" s="6">
        <v>17760</v>
      </c>
      <c r="K459" s="3">
        <v>0</v>
      </c>
      <c r="L459" s="6">
        <v>53280</v>
      </c>
      <c r="M459" s="6">
        <v>40740.26</v>
      </c>
      <c r="N459" s="6">
        <v>12539.74</v>
      </c>
      <c r="O459" t="s">
        <v>43</v>
      </c>
    </row>
    <row r="460" spans="1:15" x14ac:dyDescent="0.25">
      <c r="A460" t="s">
        <v>522</v>
      </c>
      <c r="B460" s="5">
        <v>45989</v>
      </c>
      <c r="C460" t="s">
        <v>45</v>
      </c>
      <c r="D460" t="s">
        <v>30</v>
      </c>
      <c r="E460" t="s">
        <v>49</v>
      </c>
      <c r="F460" t="s">
        <v>32</v>
      </c>
      <c r="G460" t="s">
        <v>86</v>
      </c>
      <c r="H460" t="s">
        <v>42</v>
      </c>
      <c r="I460">
        <v>2</v>
      </c>
      <c r="J460" s="6">
        <v>13024</v>
      </c>
      <c r="K460" s="3">
        <v>0.05</v>
      </c>
      <c r="L460" s="6">
        <v>24745.599999999999</v>
      </c>
      <c r="M460" s="6">
        <v>17133.88</v>
      </c>
      <c r="N460" s="6">
        <v>7611.72</v>
      </c>
      <c r="O460" t="s">
        <v>58</v>
      </c>
    </row>
    <row r="461" spans="1:15" x14ac:dyDescent="0.25">
      <c r="A461" t="s">
        <v>523</v>
      </c>
      <c r="B461" s="5">
        <v>45990</v>
      </c>
      <c r="C461" t="s">
        <v>38</v>
      </c>
      <c r="D461" t="s">
        <v>30</v>
      </c>
      <c r="E461" t="s">
        <v>31</v>
      </c>
      <c r="F461" t="s">
        <v>19</v>
      </c>
      <c r="G461" t="s">
        <v>77</v>
      </c>
      <c r="H461" t="s">
        <v>53</v>
      </c>
      <c r="I461">
        <v>3</v>
      </c>
      <c r="J461" s="6">
        <v>19465</v>
      </c>
      <c r="K461" s="3">
        <v>0.1</v>
      </c>
      <c r="L461" s="6">
        <v>52555.5</v>
      </c>
      <c r="M461" s="6">
        <v>38013.230000000003</v>
      </c>
      <c r="N461" s="6">
        <v>14542.27</v>
      </c>
      <c r="O461" t="s">
        <v>43</v>
      </c>
    </row>
    <row r="462" spans="1:15" x14ac:dyDescent="0.25">
      <c r="A462" t="s">
        <v>524</v>
      </c>
      <c r="B462" s="5">
        <v>45992</v>
      </c>
      <c r="C462" t="s">
        <v>79</v>
      </c>
      <c r="D462" t="s">
        <v>39</v>
      </c>
      <c r="E462" t="s">
        <v>18</v>
      </c>
      <c r="F462" t="s">
        <v>19</v>
      </c>
      <c r="G462" t="s">
        <v>52</v>
      </c>
      <c r="H462" t="s">
        <v>53</v>
      </c>
      <c r="I462">
        <v>6</v>
      </c>
      <c r="J462" s="6">
        <v>64705</v>
      </c>
      <c r="K462" s="3">
        <v>0.05</v>
      </c>
      <c r="L462" s="6">
        <v>368818.5</v>
      </c>
      <c r="M462" s="6">
        <v>250709.23</v>
      </c>
      <c r="N462" s="6">
        <v>118109.27</v>
      </c>
      <c r="O462" t="s">
        <v>27</v>
      </c>
    </row>
    <row r="463" spans="1:15" x14ac:dyDescent="0.25">
      <c r="A463" t="s">
        <v>525</v>
      </c>
      <c r="B463" s="5">
        <v>45992</v>
      </c>
      <c r="C463" t="s">
        <v>16</v>
      </c>
      <c r="D463" t="s">
        <v>30</v>
      </c>
      <c r="E463" t="s">
        <v>25</v>
      </c>
      <c r="F463" t="s">
        <v>26</v>
      </c>
      <c r="G463" t="s">
        <v>107</v>
      </c>
      <c r="H463" t="s">
        <v>108</v>
      </c>
      <c r="I463">
        <v>6</v>
      </c>
      <c r="J463" s="6">
        <v>14273</v>
      </c>
      <c r="K463" s="3">
        <v>0</v>
      </c>
      <c r="L463" s="6">
        <v>85638</v>
      </c>
      <c r="M463" s="6">
        <v>63980.28</v>
      </c>
      <c r="N463" s="6">
        <v>21657.72</v>
      </c>
      <c r="O463" t="s">
        <v>27</v>
      </c>
    </row>
    <row r="464" spans="1:15" x14ac:dyDescent="0.25">
      <c r="A464" t="s">
        <v>526</v>
      </c>
      <c r="B464" s="5">
        <v>45992</v>
      </c>
      <c r="C464" t="s">
        <v>88</v>
      </c>
      <c r="D464" t="s">
        <v>39</v>
      </c>
      <c r="E464" t="s">
        <v>40</v>
      </c>
      <c r="F464" t="s">
        <v>32</v>
      </c>
      <c r="G464" t="s">
        <v>64</v>
      </c>
      <c r="H464" t="s">
        <v>53</v>
      </c>
      <c r="I464">
        <v>2</v>
      </c>
      <c r="J464" s="6">
        <v>30029</v>
      </c>
      <c r="K464" s="3">
        <v>0.15</v>
      </c>
      <c r="L464" s="6">
        <v>51049.3</v>
      </c>
      <c r="M464" s="6">
        <v>32281.34</v>
      </c>
      <c r="N464" s="6">
        <v>18767.96</v>
      </c>
      <c r="O464" t="s">
        <v>43</v>
      </c>
    </row>
    <row r="465" spans="1:15" x14ac:dyDescent="0.25">
      <c r="A465" t="s">
        <v>527</v>
      </c>
      <c r="B465" s="5">
        <v>45992</v>
      </c>
      <c r="C465" t="s">
        <v>45</v>
      </c>
      <c r="D465" t="s">
        <v>30</v>
      </c>
      <c r="E465" t="s">
        <v>57</v>
      </c>
      <c r="F465" t="s">
        <v>26</v>
      </c>
      <c r="G465" t="s">
        <v>82</v>
      </c>
      <c r="H465" t="s">
        <v>21</v>
      </c>
      <c r="I465">
        <v>8</v>
      </c>
      <c r="J465" s="6">
        <v>1306</v>
      </c>
      <c r="K465" s="3">
        <v>0</v>
      </c>
      <c r="L465" s="6">
        <v>10448</v>
      </c>
      <c r="M465" s="6">
        <v>7294.85</v>
      </c>
      <c r="N465" s="6">
        <v>3153.15</v>
      </c>
      <c r="O465" t="s">
        <v>43</v>
      </c>
    </row>
    <row r="466" spans="1:15" x14ac:dyDescent="0.25">
      <c r="A466" t="s">
        <v>528</v>
      </c>
      <c r="B466" s="5">
        <v>45993</v>
      </c>
      <c r="C466" t="s">
        <v>51</v>
      </c>
      <c r="D466" t="s">
        <v>17</v>
      </c>
      <c r="E466" t="s">
        <v>46</v>
      </c>
      <c r="F466" t="s">
        <v>19</v>
      </c>
      <c r="G466" t="s">
        <v>77</v>
      </c>
      <c r="H466" t="s">
        <v>53</v>
      </c>
      <c r="I466">
        <v>2</v>
      </c>
      <c r="J466" s="6">
        <v>18838</v>
      </c>
      <c r="K466" s="3">
        <v>0</v>
      </c>
      <c r="L466" s="6">
        <v>37676</v>
      </c>
      <c r="M466" s="6">
        <v>24166.77</v>
      </c>
      <c r="N466" s="6">
        <v>13509.23</v>
      </c>
      <c r="O466" t="s">
        <v>22</v>
      </c>
    </row>
    <row r="467" spans="1:15" x14ac:dyDescent="0.25">
      <c r="A467" t="s">
        <v>529</v>
      </c>
      <c r="B467" s="5">
        <v>45993</v>
      </c>
      <c r="C467" t="s">
        <v>38</v>
      </c>
      <c r="D467" t="s">
        <v>30</v>
      </c>
      <c r="E467" t="s">
        <v>49</v>
      </c>
      <c r="F467" t="s">
        <v>19</v>
      </c>
      <c r="G467" t="s">
        <v>64</v>
      </c>
      <c r="H467" t="s">
        <v>53</v>
      </c>
      <c r="I467">
        <v>4</v>
      </c>
      <c r="J467" s="6">
        <v>29784</v>
      </c>
      <c r="K467" s="3">
        <v>0.05</v>
      </c>
      <c r="L467" s="6">
        <v>113179.2</v>
      </c>
      <c r="M467" s="6">
        <v>68477.56</v>
      </c>
      <c r="N467" s="6">
        <v>44701.64</v>
      </c>
      <c r="O467" t="s">
        <v>43</v>
      </c>
    </row>
    <row r="468" spans="1:15" x14ac:dyDescent="0.25">
      <c r="A468" t="s">
        <v>530</v>
      </c>
      <c r="B468" s="5">
        <v>45994</v>
      </c>
      <c r="C468" t="s">
        <v>16</v>
      </c>
      <c r="D468" t="s">
        <v>48</v>
      </c>
      <c r="E468" t="s">
        <v>36</v>
      </c>
      <c r="F468" t="s">
        <v>19</v>
      </c>
      <c r="G468" t="s">
        <v>86</v>
      </c>
      <c r="H468" t="s">
        <v>42</v>
      </c>
      <c r="I468">
        <v>8</v>
      </c>
      <c r="J468" s="6">
        <v>11691</v>
      </c>
      <c r="K468" s="3">
        <v>0</v>
      </c>
      <c r="L468" s="6">
        <v>93528</v>
      </c>
      <c r="M468" s="6">
        <v>66186.62</v>
      </c>
      <c r="N468" s="6">
        <v>27341.38</v>
      </c>
      <c r="O468" t="s">
        <v>58</v>
      </c>
    </row>
    <row r="469" spans="1:15" x14ac:dyDescent="0.25">
      <c r="A469" t="s">
        <v>531</v>
      </c>
      <c r="B469" s="5">
        <v>45994</v>
      </c>
      <c r="C469" t="s">
        <v>96</v>
      </c>
      <c r="D469" t="s">
        <v>39</v>
      </c>
      <c r="E469" t="s">
        <v>18</v>
      </c>
      <c r="F469" t="s">
        <v>32</v>
      </c>
      <c r="G469" t="s">
        <v>77</v>
      </c>
      <c r="H469" t="s">
        <v>53</v>
      </c>
      <c r="I469">
        <v>1</v>
      </c>
      <c r="J469" s="6">
        <v>18975</v>
      </c>
      <c r="K469" s="3">
        <v>0</v>
      </c>
      <c r="L469" s="6">
        <v>18975</v>
      </c>
      <c r="M469" s="6">
        <v>11698.66</v>
      </c>
      <c r="N469" s="6">
        <v>7276.34</v>
      </c>
      <c r="O469" t="s">
        <v>58</v>
      </c>
    </row>
    <row r="470" spans="1:15" x14ac:dyDescent="0.25">
      <c r="A470" t="s">
        <v>532</v>
      </c>
      <c r="B470" s="5">
        <v>45994</v>
      </c>
      <c r="C470" t="s">
        <v>29</v>
      </c>
      <c r="D470" t="s">
        <v>39</v>
      </c>
      <c r="E470" t="s">
        <v>36</v>
      </c>
      <c r="F470" t="s">
        <v>19</v>
      </c>
      <c r="G470" t="s">
        <v>86</v>
      </c>
      <c r="H470" t="s">
        <v>42</v>
      </c>
      <c r="I470">
        <v>3</v>
      </c>
      <c r="J470" s="6">
        <v>11629</v>
      </c>
      <c r="K470" s="3">
        <v>0.1</v>
      </c>
      <c r="L470" s="6">
        <v>31398.3</v>
      </c>
      <c r="M470" s="6">
        <v>24402.59</v>
      </c>
      <c r="N470" s="6">
        <v>6995.71</v>
      </c>
      <c r="O470" t="s">
        <v>58</v>
      </c>
    </row>
    <row r="471" spans="1:15" x14ac:dyDescent="0.25">
      <c r="A471" t="s">
        <v>533</v>
      </c>
      <c r="B471" s="5">
        <v>45995</v>
      </c>
      <c r="C471" t="s">
        <v>60</v>
      </c>
      <c r="D471" t="s">
        <v>48</v>
      </c>
      <c r="E471" t="s">
        <v>40</v>
      </c>
      <c r="F471" t="s">
        <v>19</v>
      </c>
      <c r="G471" t="s">
        <v>107</v>
      </c>
      <c r="H471" t="s">
        <v>108</v>
      </c>
      <c r="I471">
        <v>7</v>
      </c>
      <c r="J471" s="6">
        <v>15968</v>
      </c>
      <c r="K471" s="3">
        <v>0.15</v>
      </c>
      <c r="L471" s="6">
        <v>95009.600000000006</v>
      </c>
      <c r="M471" s="6">
        <v>68381.820000000007</v>
      </c>
      <c r="N471" s="6">
        <v>26627.78</v>
      </c>
      <c r="O471" t="s">
        <v>74</v>
      </c>
    </row>
    <row r="472" spans="1:15" x14ac:dyDescent="0.25">
      <c r="A472" t="s">
        <v>534</v>
      </c>
      <c r="B472" s="5">
        <v>45995</v>
      </c>
      <c r="C472" t="s">
        <v>69</v>
      </c>
      <c r="D472" t="s">
        <v>17</v>
      </c>
      <c r="E472" t="s">
        <v>36</v>
      </c>
      <c r="F472" t="s">
        <v>32</v>
      </c>
      <c r="G472" t="s">
        <v>41</v>
      </c>
      <c r="H472" t="s">
        <v>42</v>
      </c>
      <c r="I472">
        <v>6</v>
      </c>
      <c r="J472" s="6">
        <v>9631</v>
      </c>
      <c r="K472" s="3">
        <v>0.1</v>
      </c>
      <c r="L472" s="6">
        <v>52007.4</v>
      </c>
      <c r="M472" s="6">
        <v>33507.78</v>
      </c>
      <c r="N472" s="6">
        <v>18499.62</v>
      </c>
      <c r="O472" t="s">
        <v>74</v>
      </c>
    </row>
    <row r="473" spans="1:15" x14ac:dyDescent="0.25">
      <c r="A473" t="s">
        <v>535</v>
      </c>
      <c r="B473" s="5">
        <v>45996</v>
      </c>
      <c r="C473" t="s">
        <v>38</v>
      </c>
      <c r="D473" t="s">
        <v>39</v>
      </c>
      <c r="E473" t="s">
        <v>18</v>
      </c>
      <c r="F473" t="s">
        <v>26</v>
      </c>
      <c r="G473" t="s">
        <v>62</v>
      </c>
      <c r="H473" t="s">
        <v>21</v>
      </c>
      <c r="I473">
        <v>8</v>
      </c>
      <c r="J473" s="6">
        <v>3595</v>
      </c>
      <c r="K473" s="3">
        <v>0.05</v>
      </c>
      <c r="L473" s="6">
        <v>27322</v>
      </c>
      <c r="M473" s="6">
        <v>20445.29</v>
      </c>
      <c r="N473" s="6">
        <v>6876.71</v>
      </c>
      <c r="O473" t="s">
        <v>43</v>
      </c>
    </row>
    <row r="474" spans="1:15" x14ac:dyDescent="0.25">
      <c r="A474" t="s">
        <v>536</v>
      </c>
      <c r="B474" s="5">
        <v>45997</v>
      </c>
      <c r="C474" t="s">
        <v>38</v>
      </c>
      <c r="D474" t="s">
        <v>48</v>
      </c>
      <c r="E474" t="s">
        <v>31</v>
      </c>
      <c r="F474" t="s">
        <v>26</v>
      </c>
      <c r="G474" t="s">
        <v>41</v>
      </c>
      <c r="H474" t="s">
        <v>42</v>
      </c>
      <c r="I474">
        <v>5</v>
      </c>
      <c r="J474" s="6">
        <v>10412</v>
      </c>
      <c r="K474" s="3">
        <v>0.1</v>
      </c>
      <c r="L474" s="6">
        <v>46854</v>
      </c>
      <c r="M474" s="6">
        <v>31501.13</v>
      </c>
      <c r="N474" s="6">
        <v>15352.87</v>
      </c>
      <c r="O474" t="s">
        <v>58</v>
      </c>
    </row>
    <row r="475" spans="1:15" x14ac:dyDescent="0.25">
      <c r="A475" t="s">
        <v>537</v>
      </c>
      <c r="B475" s="5">
        <v>45998</v>
      </c>
      <c r="C475" t="s">
        <v>67</v>
      </c>
      <c r="D475" t="s">
        <v>39</v>
      </c>
      <c r="E475" t="s">
        <v>25</v>
      </c>
      <c r="F475" t="s">
        <v>19</v>
      </c>
      <c r="G475" t="s">
        <v>86</v>
      </c>
      <c r="H475" t="s">
        <v>42</v>
      </c>
      <c r="I475">
        <v>5</v>
      </c>
      <c r="J475" s="6">
        <v>11073</v>
      </c>
      <c r="K475" s="3">
        <v>0</v>
      </c>
      <c r="L475" s="6">
        <v>55365</v>
      </c>
      <c r="M475" s="6">
        <v>35963.43</v>
      </c>
      <c r="N475" s="6">
        <v>19401.57</v>
      </c>
      <c r="O475" t="s">
        <v>74</v>
      </c>
    </row>
    <row r="476" spans="1:15" x14ac:dyDescent="0.25">
      <c r="A476" t="s">
        <v>538</v>
      </c>
      <c r="B476" s="5">
        <v>45999</v>
      </c>
      <c r="C476" t="s">
        <v>16</v>
      </c>
      <c r="D476" t="s">
        <v>39</v>
      </c>
      <c r="E476" t="s">
        <v>46</v>
      </c>
      <c r="F476" t="s">
        <v>26</v>
      </c>
      <c r="G476" t="s">
        <v>82</v>
      </c>
      <c r="H476" t="s">
        <v>21</v>
      </c>
      <c r="I476">
        <v>4</v>
      </c>
      <c r="J476" s="6">
        <v>1154</v>
      </c>
      <c r="K476" s="3">
        <v>0.1</v>
      </c>
      <c r="L476" s="6">
        <v>4154.3999999999996</v>
      </c>
      <c r="M476" s="6">
        <v>3078.16</v>
      </c>
      <c r="N476" s="6">
        <v>1076.24</v>
      </c>
      <c r="O476" t="s">
        <v>27</v>
      </c>
    </row>
    <row r="477" spans="1:15" x14ac:dyDescent="0.25">
      <c r="A477" t="s">
        <v>539</v>
      </c>
      <c r="B477" s="5">
        <v>46000</v>
      </c>
      <c r="C477" t="s">
        <v>35</v>
      </c>
      <c r="D477" t="s">
        <v>17</v>
      </c>
      <c r="E477" t="s">
        <v>49</v>
      </c>
      <c r="F477" t="s">
        <v>32</v>
      </c>
      <c r="G477" t="s">
        <v>41</v>
      </c>
      <c r="H477" t="s">
        <v>42</v>
      </c>
      <c r="I477">
        <v>2</v>
      </c>
      <c r="J477" s="6">
        <v>9437</v>
      </c>
      <c r="K477" s="3">
        <v>0.05</v>
      </c>
      <c r="L477" s="6">
        <v>17930.3</v>
      </c>
      <c r="M477" s="6">
        <v>14467.94</v>
      </c>
      <c r="N477" s="6">
        <v>3462.36</v>
      </c>
      <c r="O477" t="s">
        <v>74</v>
      </c>
    </row>
    <row r="478" spans="1:15" x14ac:dyDescent="0.25">
      <c r="A478" t="s">
        <v>540</v>
      </c>
      <c r="B478" s="5">
        <v>46001</v>
      </c>
      <c r="C478" t="s">
        <v>24</v>
      </c>
      <c r="D478" t="s">
        <v>48</v>
      </c>
      <c r="E478" t="s">
        <v>36</v>
      </c>
      <c r="F478" t="s">
        <v>26</v>
      </c>
      <c r="G478" t="s">
        <v>20</v>
      </c>
      <c r="H478" t="s">
        <v>21</v>
      </c>
      <c r="I478">
        <v>8</v>
      </c>
      <c r="J478" s="6">
        <v>2303</v>
      </c>
      <c r="K478" s="3">
        <v>0.15</v>
      </c>
      <c r="L478" s="6">
        <v>15660.4</v>
      </c>
      <c r="M478" s="6">
        <v>11261.06</v>
      </c>
      <c r="N478" s="6">
        <v>4399.34</v>
      </c>
      <c r="O478" t="s">
        <v>22</v>
      </c>
    </row>
    <row r="479" spans="1:15" x14ac:dyDescent="0.25">
      <c r="A479" t="s">
        <v>541</v>
      </c>
      <c r="B479" s="5">
        <v>46001</v>
      </c>
      <c r="C479" t="s">
        <v>51</v>
      </c>
      <c r="D479" t="s">
        <v>48</v>
      </c>
      <c r="E479" t="s">
        <v>18</v>
      </c>
      <c r="F479" t="s">
        <v>26</v>
      </c>
      <c r="G479" t="s">
        <v>62</v>
      </c>
      <c r="H479" t="s">
        <v>21</v>
      </c>
      <c r="I479">
        <v>1</v>
      </c>
      <c r="J479" s="6">
        <v>3581</v>
      </c>
      <c r="K479" s="3">
        <v>0</v>
      </c>
      <c r="L479" s="6">
        <v>3581</v>
      </c>
      <c r="M479" s="6">
        <v>2420.5700000000002</v>
      </c>
      <c r="N479" s="6">
        <v>1160.43</v>
      </c>
      <c r="O479" t="s">
        <v>22</v>
      </c>
    </row>
    <row r="480" spans="1:15" x14ac:dyDescent="0.25">
      <c r="A480" t="s">
        <v>542</v>
      </c>
      <c r="B480" s="5">
        <v>46002</v>
      </c>
      <c r="C480" t="s">
        <v>16</v>
      </c>
      <c r="D480" t="s">
        <v>48</v>
      </c>
      <c r="E480" t="s">
        <v>40</v>
      </c>
      <c r="F480" t="s">
        <v>19</v>
      </c>
      <c r="G480" t="s">
        <v>52</v>
      </c>
      <c r="H480" t="s">
        <v>53</v>
      </c>
      <c r="I480">
        <v>7</v>
      </c>
      <c r="J480" s="6">
        <v>61337</v>
      </c>
      <c r="K480" s="3">
        <v>0.2</v>
      </c>
      <c r="L480" s="6">
        <v>343487.2</v>
      </c>
      <c r="M480" s="6">
        <v>249500.89</v>
      </c>
      <c r="N480" s="6">
        <v>93986.31</v>
      </c>
      <c r="O480" t="s">
        <v>27</v>
      </c>
    </row>
    <row r="481" spans="1:15" x14ac:dyDescent="0.25">
      <c r="A481" t="s">
        <v>543</v>
      </c>
      <c r="B481" s="5">
        <v>46002</v>
      </c>
      <c r="C481" t="s">
        <v>88</v>
      </c>
      <c r="D481" t="s">
        <v>17</v>
      </c>
      <c r="E481" t="s">
        <v>31</v>
      </c>
      <c r="F481" t="s">
        <v>32</v>
      </c>
      <c r="G481" t="s">
        <v>86</v>
      </c>
      <c r="H481" t="s">
        <v>42</v>
      </c>
      <c r="I481">
        <v>4</v>
      </c>
      <c r="J481" s="6">
        <v>11419</v>
      </c>
      <c r="K481" s="3">
        <v>0.1</v>
      </c>
      <c r="L481" s="6">
        <v>41108.400000000001</v>
      </c>
      <c r="M481" s="6">
        <v>27606.01</v>
      </c>
      <c r="N481" s="6">
        <v>13502.39</v>
      </c>
      <c r="O481" t="s">
        <v>58</v>
      </c>
    </row>
    <row r="482" spans="1:15" x14ac:dyDescent="0.25">
      <c r="A482" t="s">
        <v>544</v>
      </c>
      <c r="B482" s="5">
        <v>46003</v>
      </c>
      <c r="C482" t="s">
        <v>91</v>
      </c>
      <c r="D482" t="s">
        <v>17</v>
      </c>
      <c r="E482" t="s">
        <v>46</v>
      </c>
      <c r="F482" t="s">
        <v>26</v>
      </c>
      <c r="G482" t="s">
        <v>107</v>
      </c>
      <c r="H482" t="s">
        <v>108</v>
      </c>
      <c r="I482">
        <v>1</v>
      </c>
      <c r="J482" s="6">
        <v>15862</v>
      </c>
      <c r="K482" s="3">
        <v>0.05</v>
      </c>
      <c r="L482" s="6">
        <v>15068.9</v>
      </c>
      <c r="M482" s="6">
        <v>9174.7999999999993</v>
      </c>
      <c r="N482" s="6">
        <v>5894.1</v>
      </c>
      <c r="O482" t="s">
        <v>27</v>
      </c>
    </row>
    <row r="483" spans="1:15" x14ac:dyDescent="0.25">
      <c r="A483" t="s">
        <v>545</v>
      </c>
      <c r="B483" s="5">
        <v>46003</v>
      </c>
      <c r="C483" t="s">
        <v>16</v>
      </c>
      <c r="D483" t="s">
        <v>48</v>
      </c>
      <c r="E483" t="s">
        <v>49</v>
      </c>
      <c r="F483" t="s">
        <v>19</v>
      </c>
      <c r="G483" t="s">
        <v>64</v>
      </c>
      <c r="H483" t="s">
        <v>53</v>
      </c>
      <c r="I483">
        <v>2</v>
      </c>
      <c r="J483" s="6">
        <v>30567</v>
      </c>
      <c r="K483" s="3">
        <v>0.05</v>
      </c>
      <c r="L483" s="6">
        <v>58077.3</v>
      </c>
      <c r="M483" s="6">
        <v>41865.33</v>
      </c>
      <c r="N483" s="6">
        <v>16211.97</v>
      </c>
      <c r="O483" t="s">
        <v>58</v>
      </c>
    </row>
    <row r="484" spans="1:15" x14ac:dyDescent="0.25">
      <c r="A484" t="s">
        <v>546</v>
      </c>
      <c r="B484" s="5">
        <v>46005</v>
      </c>
      <c r="C484" t="s">
        <v>16</v>
      </c>
      <c r="D484" t="s">
        <v>30</v>
      </c>
      <c r="E484" t="s">
        <v>40</v>
      </c>
      <c r="F484" t="s">
        <v>32</v>
      </c>
      <c r="G484" t="s">
        <v>77</v>
      </c>
      <c r="H484" t="s">
        <v>53</v>
      </c>
      <c r="I484">
        <v>5</v>
      </c>
      <c r="J484" s="6">
        <v>16573</v>
      </c>
      <c r="K484" s="3">
        <v>0</v>
      </c>
      <c r="L484" s="6">
        <v>82865</v>
      </c>
      <c r="M484" s="6">
        <v>60311.08</v>
      </c>
      <c r="N484" s="6">
        <v>22553.919999999998</v>
      </c>
      <c r="O484" t="s">
        <v>22</v>
      </c>
    </row>
    <row r="485" spans="1:15" x14ac:dyDescent="0.25">
      <c r="A485" t="s">
        <v>547</v>
      </c>
      <c r="B485" s="5">
        <v>46005</v>
      </c>
      <c r="C485" t="s">
        <v>69</v>
      </c>
      <c r="D485" t="s">
        <v>39</v>
      </c>
      <c r="E485" t="s">
        <v>36</v>
      </c>
      <c r="F485" t="s">
        <v>26</v>
      </c>
      <c r="G485" t="s">
        <v>82</v>
      </c>
      <c r="H485" t="s">
        <v>21</v>
      </c>
      <c r="I485">
        <v>2</v>
      </c>
      <c r="J485" s="6">
        <v>1173</v>
      </c>
      <c r="K485" s="3">
        <v>0.05</v>
      </c>
      <c r="L485" s="6">
        <v>2228.6999999999998</v>
      </c>
      <c r="M485" s="6">
        <v>1467.61</v>
      </c>
      <c r="N485" s="6">
        <v>761.09</v>
      </c>
      <c r="O485" t="s">
        <v>74</v>
      </c>
    </row>
    <row r="486" spans="1:15" x14ac:dyDescent="0.25">
      <c r="A486" t="s">
        <v>548</v>
      </c>
      <c r="B486" s="5">
        <v>46006</v>
      </c>
      <c r="C486" t="s">
        <v>91</v>
      </c>
      <c r="D486" t="s">
        <v>30</v>
      </c>
      <c r="E486" t="s">
        <v>40</v>
      </c>
      <c r="F486" t="s">
        <v>26</v>
      </c>
      <c r="G486" t="s">
        <v>107</v>
      </c>
      <c r="H486" t="s">
        <v>108</v>
      </c>
      <c r="I486">
        <v>1</v>
      </c>
      <c r="J486" s="6">
        <v>15713</v>
      </c>
      <c r="K486" s="3">
        <v>0.1</v>
      </c>
      <c r="L486" s="6">
        <v>14141.7</v>
      </c>
      <c r="M486" s="6">
        <v>9812.92</v>
      </c>
      <c r="N486" s="6">
        <v>4328.78</v>
      </c>
      <c r="O486" t="s">
        <v>58</v>
      </c>
    </row>
    <row r="487" spans="1:15" x14ac:dyDescent="0.25">
      <c r="A487" t="s">
        <v>549</v>
      </c>
      <c r="B487" s="5">
        <v>46007</v>
      </c>
      <c r="C487" t="s">
        <v>79</v>
      </c>
      <c r="D487" t="s">
        <v>17</v>
      </c>
      <c r="E487" t="s">
        <v>18</v>
      </c>
      <c r="F487" t="s">
        <v>19</v>
      </c>
      <c r="G487" t="s">
        <v>64</v>
      </c>
      <c r="H487" t="s">
        <v>53</v>
      </c>
      <c r="I487">
        <v>7</v>
      </c>
      <c r="J487" s="6">
        <v>30012</v>
      </c>
      <c r="K487" s="3">
        <v>0.15</v>
      </c>
      <c r="L487" s="6">
        <v>178571.4</v>
      </c>
      <c r="M487" s="6">
        <v>114394.4</v>
      </c>
      <c r="N487" s="6">
        <v>64177</v>
      </c>
      <c r="O487" t="s">
        <v>22</v>
      </c>
    </row>
    <row r="488" spans="1:15" x14ac:dyDescent="0.25">
      <c r="A488" t="s">
        <v>550</v>
      </c>
      <c r="B488" s="5">
        <v>46009</v>
      </c>
      <c r="C488" t="s">
        <v>45</v>
      </c>
      <c r="D488" t="s">
        <v>39</v>
      </c>
      <c r="E488" t="s">
        <v>46</v>
      </c>
      <c r="F488" t="s">
        <v>19</v>
      </c>
      <c r="G488" t="s">
        <v>20</v>
      </c>
      <c r="H488" t="s">
        <v>21</v>
      </c>
      <c r="I488">
        <v>3</v>
      </c>
      <c r="J488" s="6">
        <v>2583</v>
      </c>
      <c r="K488" s="3">
        <v>0</v>
      </c>
      <c r="L488" s="6">
        <v>7749</v>
      </c>
      <c r="M488" s="6">
        <v>4977.21</v>
      </c>
      <c r="N488" s="6">
        <v>2771.79</v>
      </c>
      <c r="O488" t="s">
        <v>43</v>
      </c>
    </row>
    <row r="489" spans="1:15" x14ac:dyDescent="0.25">
      <c r="A489" t="s">
        <v>551</v>
      </c>
      <c r="B489" s="5">
        <v>46010</v>
      </c>
      <c r="C489" t="s">
        <v>38</v>
      </c>
      <c r="D489" t="s">
        <v>30</v>
      </c>
      <c r="E489" t="s">
        <v>57</v>
      </c>
      <c r="F489" t="s">
        <v>32</v>
      </c>
      <c r="G489" t="s">
        <v>33</v>
      </c>
      <c r="H489" t="s">
        <v>21</v>
      </c>
      <c r="I489">
        <v>7</v>
      </c>
      <c r="J489" s="6">
        <v>4772</v>
      </c>
      <c r="K489" s="3">
        <v>0.1</v>
      </c>
      <c r="L489" s="6">
        <v>30063.599999999999</v>
      </c>
      <c r="M489" s="6">
        <v>21428.94</v>
      </c>
      <c r="N489" s="6">
        <v>8634.66</v>
      </c>
      <c r="O489" t="s">
        <v>74</v>
      </c>
    </row>
    <row r="490" spans="1:15" x14ac:dyDescent="0.25">
      <c r="A490" t="s">
        <v>552</v>
      </c>
      <c r="B490" s="5">
        <v>46013</v>
      </c>
      <c r="C490" t="s">
        <v>69</v>
      </c>
      <c r="D490" t="s">
        <v>39</v>
      </c>
      <c r="E490" t="s">
        <v>46</v>
      </c>
      <c r="F490" t="s">
        <v>19</v>
      </c>
      <c r="G490" t="s">
        <v>64</v>
      </c>
      <c r="H490" t="s">
        <v>53</v>
      </c>
      <c r="I490">
        <v>7</v>
      </c>
      <c r="J490" s="6">
        <v>28065</v>
      </c>
      <c r="K490" s="3">
        <v>0</v>
      </c>
      <c r="L490" s="6">
        <v>196455</v>
      </c>
      <c r="M490" s="6">
        <v>158431.34</v>
      </c>
      <c r="N490" s="6">
        <v>38023.660000000003</v>
      </c>
      <c r="O490" t="s">
        <v>58</v>
      </c>
    </row>
    <row r="491" spans="1:15" x14ac:dyDescent="0.25">
      <c r="A491" t="s">
        <v>553</v>
      </c>
      <c r="B491" s="5">
        <v>46013</v>
      </c>
      <c r="C491" t="s">
        <v>91</v>
      </c>
      <c r="D491" t="s">
        <v>48</v>
      </c>
      <c r="E491" t="s">
        <v>46</v>
      </c>
      <c r="F491" t="s">
        <v>19</v>
      </c>
      <c r="G491" t="s">
        <v>86</v>
      </c>
      <c r="H491" t="s">
        <v>42</v>
      </c>
      <c r="I491">
        <v>6</v>
      </c>
      <c r="J491" s="6">
        <v>10961</v>
      </c>
      <c r="K491" s="3">
        <v>0.05</v>
      </c>
      <c r="L491" s="6">
        <v>62477.7</v>
      </c>
      <c r="M491" s="6">
        <v>44324.32</v>
      </c>
      <c r="N491" s="6">
        <v>18153.38</v>
      </c>
      <c r="O491" t="s">
        <v>22</v>
      </c>
    </row>
    <row r="492" spans="1:15" x14ac:dyDescent="0.25">
      <c r="A492" t="s">
        <v>554</v>
      </c>
      <c r="B492" s="5">
        <v>46015</v>
      </c>
      <c r="C492" t="s">
        <v>45</v>
      </c>
      <c r="D492" t="s">
        <v>39</v>
      </c>
      <c r="E492" t="s">
        <v>46</v>
      </c>
      <c r="F492" t="s">
        <v>19</v>
      </c>
      <c r="G492" t="s">
        <v>20</v>
      </c>
      <c r="H492" t="s">
        <v>21</v>
      </c>
      <c r="I492">
        <v>5</v>
      </c>
      <c r="J492" s="6">
        <v>2542</v>
      </c>
      <c r="K492" s="3">
        <v>0.1</v>
      </c>
      <c r="L492" s="6">
        <v>11439</v>
      </c>
      <c r="M492" s="6">
        <v>8768.66</v>
      </c>
      <c r="N492" s="6">
        <v>2670.34</v>
      </c>
      <c r="O492" t="s">
        <v>74</v>
      </c>
    </row>
    <row r="493" spans="1:15" x14ac:dyDescent="0.25">
      <c r="A493" t="s">
        <v>555</v>
      </c>
      <c r="B493" s="5">
        <v>46016</v>
      </c>
      <c r="C493" t="s">
        <v>88</v>
      </c>
      <c r="D493" t="s">
        <v>30</v>
      </c>
      <c r="E493" t="s">
        <v>40</v>
      </c>
      <c r="F493" t="s">
        <v>19</v>
      </c>
      <c r="G493" t="s">
        <v>82</v>
      </c>
      <c r="H493" t="s">
        <v>21</v>
      </c>
      <c r="I493">
        <v>5</v>
      </c>
      <c r="J493" s="6">
        <v>1255</v>
      </c>
      <c r="K493" s="3">
        <v>0</v>
      </c>
      <c r="L493" s="6">
        <v>6275</v>
      </c>
      <c r="M493" s="6">
        <v>4410.12</v>
      </c>
      <c r="N493" s="6">
        <v>1864.88</v>
      </c>
      <c r="O493" t="s">
        <v>22</v>
      </c>
    </row>
    <row r="494" spans="1:15" x14ac:dyDescent="0.25">
      <c r="A494" t="s">
        <v>556</v>
      </c>
      <c r="B494" s="5">
        <v>46017</v>
      </c>
      <c r="C494" t="s">
        <v>38</v>
      </c>
      <c r="D494" t="s">
        <v>17</v>
      </c>
      <c r="E494" t="s">
        <v>49</v>
      </c>
      <c r="F494" t="s">
        <v>19</v>
      </c>
      <c r="G494" t="s">
        <v>52</v>
      </c>
      <c r="H494" t="s">
        <v>53</v>
      </c>
      <c r="I494">
        <v>7</v>
      </c>
      <c r="J494" s="6">
        <v>66240</v>
      </c>
      <c r="K494" s="3">
        <v>0</v>
      </c>
      <c r="L494" s="6">
        <v>463680</v>
      </c>
      <c r="M494" s="6">
        <v>354711.17</v>
      </c>
      <c r="N494" s="6">
        <v>108968.83</v>
      </c>
      <c r="O494" t="s">
        <v>22</v>
      </c>
    </row>
    <row r="495" spans="1:15" x14ac:dyDescent="0.25">
      <c r="A495" t="s">
        <v>557</v>
      </c>
      <c r="B495" s="5">
        <v>46018</v>
      </c>
      <c r="C495" t="s">
        <v>24</v>
      </c>
      <c r="D495" t="s">
        <v>17</v>
      </c>
      <c r="E495" t="s">
        <v>57</v>
      </c>
      <c r="F495" t="s">
        <v>19</v>
      </c>
      <c r="G495" t="s">
        <v>52</v>
      </c>
      <c r="H495" t="s">
        <v>53</v>
      </c>
      <c r="I495">
        <v>7</v>
      </c>
      <c r="J495" s="6">
        <v>59835</v>
      </c>
      <c r="K495" s="3">
        <v>0</v>
      </c>
      <c r="L495" s="6">
        <v>418845</v>
      </c>
      <c r="M495" s="6">
        <v>323458.77</v>
      </c>
      <c r="N495" s="6">
        <v>95386.23</v>
      </c>
      <c r="O495" t="s">
        <v>74</v>
      </c>
    </row>
    <row r="496" spans="1:15" x14ac:dyDescent="0.25">
      <c r="A496" t="s">
        <v>558</v>
      </c>
      <c r="B496" s="5">
        <v>46018</v>
      </c>
      <c r="C496" t="s">
        <v>96</v>
      </c>
      <c r="D496" t="s">
        <v>39</v>
      </c>
      <c r="E496" t="s">
        <v>36</v>
      </c>
      <c r="F496" t="s">
        <v>19</v>
      </c>
      <c r="G496" t="s">
        <v>52</v>
      </c>
      <c r="H496" t="s">
        <v>53</v>
      </c>
      <c r="I496">
        <v>8</v>
      </c>
      <c r="J496" s="6">
        <v>66743</v>
      </c>
      <c r="K496" s="3">
        <v>0</v>
      </c>
      <c r="L496" s="6">
        <v>533944</v>
      </c>
      <c r="M496" s="6">
        <v>350249.19</v>
      </c>
      <c r="N496" s="6">
        <v>183694.81</v>
      </c>
      <c r="O496" t="s">
        <v>27</v>
      </c>
    </row>
    <row r="497" spans="1:15" x14ac:dyDescent="0.25">
      <c r="A497" t="s">
        <v>559</v>
      </c>
      <c r="B497" s="5">
        <v>46020</v>
      </c>
      <c r="C497" t="s">
        <v>51</v>
      </c>
      <c r="D497" t="s">
        <v>39</v>
      </c>
      <c r="E497" t="s">
        <v>49</v>
      </c>
      <c r="F497" t="s">
        <v>32</v>
      </c>
      <c r="G497" t="s">
        <v>86</v>
      </c>
      <c r="H497" t="s">
        <v>42</v>
      </c>
      <c r="I497">
        <v>5</v>
      </c>
      <c r="J497" s="6">
        <v>12432</v>
      </c>
      <c r="K497" s="3">
        <v>0.1</v>
      </c>
      <c r="L497" s="6">
        <v>55944</v>
      </c>
      <c r="M497" s="6">
        <v>42830.6</v>
      </c>
      <c r="N497" s="6">
        <v>13113.4</v>
      </c>
      <c r="O497" t="s">
        <v>27</v>
      </c>
    </row>
    <row r="498" spans="1:15" x14ac:dyDescent="0.25">
      <c r="A498" t="s">
        <v>560</v>
      </c>
      <c r="B498" s="5">
        <v>46021</v>
      </c>
      <c r="C498" t="s">
        <v>79</v>
      </c>
      <c r="D498" t="s">
        <v>39</v>
      </c>
      <c r="E498" t="s">
        <v>36</v>
      </c>
      <c r="F498" t="s">
        <v>26</v>
      </c>
      <c r="G498" t="s">
        <v>62</v>
      </c>
      <c r="H498" t="s">
        <v>21</v>
      </c>
      <c r="I498">
        <v>7</v>
      </c>
      <c r="J498" s="6">
        <v>3451</v>
      </c>
      <c r="K498" s="3">
        <v>0.15</v>
      </c>
      <c r="L498" s="6">
        <v>20533.45</v>
      </c>
      <c r="M498" s="6">
        <v>12642.07</v>
      </c>
      <c r="N498" s="6">
        <v>7891.38</v>
      </c>
      <c r="O498" t="s">
        <v>58</v>
      </c>
    </row>
    <row r="499" spans="1:15" x14ac:dyDescent="0.25">
      <c r="A499" t="s">
        <v>561</v>
      </c>
      <c r="B499" s="5">
        <v>46021</v>
      </c>
      <c r="C499" t="s">
        <v>60</v>
      </c>
      <c r="D499" t="s">
        <v>39</v>
      </c>
      <c r="E499" t="s">
        <v>31</v>
      </c>
      <c r="F499" t="s">
        <v>26</v>
      </c>
      <c r="G499" t="s">
        <v>41</v>
      </c>
      <c r="H499" t="s">
        <v>42</v>
      </c>
      <c r="I499">
        <v>3</v>
      </c>
      <c r="J499" s="6">
        <v>8648</v>
      </c>
      <c r="K499" s="3">
        <v>0</v>
      </c>
      <c r="L499" s="6">
        <v>25944</v>
      </c>
      <c r="M499" s="6">
        <v>17982.66</v>
      </c>
      <c r="N499" s="6">
        <v>7961.34</v>
      </c>
      <c r="O499" t="s">
        <v>58</v>
      </c>
    </row>
    <row r="500" spans="1:15" x14ac:dyDescent="0.25">
      <c r="A500" t="s">
        <v>562</v>
      </c>
      <c r="B500" s="5">
        <v>46021</v>
      </c>
      <c r="C500" t="s">
        <v>24</v>
      </c>
      <c r="D500" t="s">
        <v>39</v>
      </c>
      <c r="E500" t="s">
        <v>46</v>
      </c>
      <c r="F500" t="s">
        <v>26</v>
      </c>
      <c r="G500" t="s">
        <v>20</v>
      </c>
      <c r="H500" t="s">
        <v>21</v>
      </c>
      <c r="I500">
        <v>6</v>
      </c>
      <c r="J500" s="6">
        <v>2645</v>
      </c>
      <c r="K500" s="3">
        <v>0.1</v>
      </c>
      <c r="L500" s="6">
        <v>14283</v>
      </c>
      <c r="M500" s="6">
        <v>9146.2199999999993</v>
      </c>
      <c r="N500" s="6">
        <v>5136.78</v>
      </c>
      <c r="O500" t="s">
        <v>58</v>
      </c>
    </row>
    <row r="501" spans="1:15" x14ac:dyDescent="0.25">
      <c r="A501" t="s">
        <v>563</v>
      </c>
      <c r="B501" s="5">
        <v>46022</v>
      </c>
      <c r="C501" t="s">
        <v>67</v>
      </c>
      <c r="D501" t="s">
        <v>30</v>
      </c>
      <c r="E501" t="s">
        <v>25</v>
      </c>
      <c r="F501" t="s">
        <v>19</v>
      </c>
      <c r="G501" t="s">
        <v>52</v>
      </c>
      <c r="H501" t="s">
        <v>53</v>
      </c>
      <c r="I501">
        <v>1</v>
      </c>
      <c r="J501" s="6">
        <v>60781</v>
      </c>
      <c r="K501" s="3">
        <v>0.1</v>
      </c>
      <c r="L501" s="6">
        <v>54702.9</v>
      </c>
      <c r="M501" s="6">
        <v>39793.58</v>
      </c>
      <c r="N501" s="6">
        <v>14909.32</v>
      </c>
      <c r="O501" t="s">
        <v>43</v>
      </c>
    </row>
  </sheetData>
  <autoFilter ref="A1:O501"/>
  <conditionalFormatting sqref="A2:A501">
    <cfRule type="duplicateValues" dxfId="0" priority="1"/>
  </conditionalFormatting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6"/>
  <sheetViews>
    <sheetView topLeftCell="A40" workbookViewId="0">
      <selection activeCell="G8" sqref="G8"/>
    </sheetView>
  </sheetViews>
  <sheetFormatPr defaultRowHeight="15" x14ac:dyDescent="0.25"/>
  <cols>
    <col min="1" max="1" width="19.7109375" bestFit="1" customWidth="1"/>
    <col min="2" max="2" width="15.85546875" bestFit="1" customWidth="1"/>
  </cols>
  <sheetData>
    <row r="1" spans="1:2" x14ac:dyDescent="0.25">
      <c r="A1" t="s">
        <v>564</v>
      </c>
      <c r="B1" s="6">
        <f>SUM('Sales Data'!L:L)</f>
        <v>35864387.950000003</v>
      </c>
    </row>
    <row r="2" spans="1:2" x14ac:dyDescent="0.25">
      <c r="A2" t="s">
        <v>565</v>
      </c>
      <c r="B2" s="10">
        <f>SUM('Sales Data'!M:M)</f>
        <v>25664999.950000007</v>
      </c>
    </row>
    <row r="3" spans="1:2" x14ac:dyDescent="0.25">
      <c r="A3" t="s">
        <v>566</v>
      </c>
      <c r="B3" s="10">
        <f>SUM('Sales Data'!N:N)</f>
        <v>10199388.000000004</v>
      </c>
    </row>
    <row r="4" spans="1:2" x14ac:dyDescent="0.25">
      <c r="A4" t="s">
        <v>567</v>
      </c>
      <c r="B4" s="10">
        <f>COUNTA('Sales Data'!A:A)-1</f>
        <v>500</v>
      </c>
    </row>
    <row r="5" spans="1:2" x14ac:dyDescent="0.25">
      <c r="A5" t="s">
        <v>568</v>
      </c>
      <c r="B5">
        <f>SUM('Sales Data'!I:I)</f>
        <v>2220</v>
      </c>
    </row>
    <row r="6" spans="1:2" x14ac:dyDescent="0.25">
      <c r="A6" t="s">
        <v>569</v>
      </c>
      <c r="B6" s="10">
        <f>B2/B5</f>
        <v>11560.81078828829</v>
      </c>
    </row>
    <row r="7" spans="1:2" x14ac:dyDescent="0.25">
      <c r="A7" t="s">
        <v>570</v>
      </c>
      <c r="B7" s="11">
        <f>B3/B1</f>
        <v>0.2843876219000136</v>
      </c>
    </row>
    <row r="10" spans="1:2" x14ac:dyDescent="0.25">
      <c r="A10" s="12" t="s">
        <v>3</v>
      </c>
      <c r="B10" s="14" t="s">
        <v>564</v>
      </c>
    </row>
    <row r="11" spans="1:2" x14ac:dyDescent="0.25">
      <c r="A11" s="9" t="s">
        <v>39</v>
      </c>
      <c r="B11" s="13">
        <f>SUMIF('Sales Data'!D:D,A11,'Sales Data'!L:L)</f>
        <v>9957463.4500000011</v>
      </c>
    </row>
    <row r="12" spans="1:2" x14ac:dyDescent="0.25">
      <c r="A12" s="9" t="s">
        <v>30</v>
      </c>
      <c r="B12" s="13">
        <f>SUMIF('Sales Data'!D:D,A12,'Sales Data'!L:L)</f>
        <v>8994165.799999997</v>
      </c>
    </row>
    <row r="13" spans="1:2" x14ac:dyDescent="0.25">
      <c r="A13" s="9" t="s">
        <v>48</v>
      </c>
      <c r="B13" s="13">
        <f>SUMIF('Sales Data'!D:D,A13,'Sales Data'!L:L)</f>
        <v>9184415.6500000004</v>
      </c>
    </row>
    <row r="14" spans="1:2" x14ac:dyDescent="0.25">
      <c r="A14" s="9" t="s">
        <v>17</v>
      </c>
      <c r="B14" s="13">
        <f>SUMIF('Sales Data'!D:D,A14,'Sales Data'!L:L)</f>
        <v>7728343.0500000017</v>
      </c>
    </row>
    <row r="16" spans="1:2" x14ac:dyDescent="0.25">
      <c r="A16" s="12" t="s">
        <v>6</v>
      </c>
      <c r="B16" s="14" t="s">
        <v>564</v>
      </c>
    </row>
    <row r="17" spans="1:2" x14ac:dyDescent="0.25">
      <c r="A17" s="9" t="s">
        <v>52</v>
      </c>
      <c r="B17" s="13">
        <f>SUMIF('Sales Data'!G:G,A17,'Sales Data'!L:L)</f>
        <v>16451575.600000001</v>
      </c>
    </row>
    <row r="18" spans="1:2" x14ac:dyDescent="0.25">
      <c r="A18" s="9" t="s">
        <v>77</v>
      </c>
      <c r="B18" s="13">
        <f>SUMIF('Sales Data'!G:G,A18,'Sales Data'!L:L)</f>
        <v>3683965.7500000009</v>
      </c>
    </row>
    <row r="19" spans="1:2" x14ac:dyDescent="0.25">
      <c r="A19" s="9" t="s">
        <v>20</v>
      </c>
      <c r="B19" s="13">
        <f>SUMIF('Sales Data'!G:G,A19,'Sales Data'!L:L)</f>
        <v>470972.45</v>
      </c>
    </row>
    <row r="20" spans="1:2" x14ac:dyDescent="0.25">
      <c r="A20" s="9" t="s">
        <v>82</v>
      </c>
      <c r="B20" s="13">
        <f>SUMIF('Sales Data'!G:G,A20,'Sales Data'!L:L)</f>
        <v>210985.29999999996</v>
      </c>
    </row>
    <row r="21" spans="1:2" x14ac:dyDescent="0.25">
      <c r="A21" s="9" t="s">
        <v>62</v>
      </c>
      <c r="B21" s="13">
        <f>SUMIF('Sales Data'!G:G,A21,'Sales Data'!L:L)</f>
        <v>744771.29999999993</v>
      </c>
    </row>
    <row r="22" spans="1:2" x14ac:dyDescent="0.25">
      <c r="A22" s="9" t="s">
        <v>107</v>
      </c>
      <c r="B22" s="13">
        <f>SUMIF('Sales Data'!G:G,A22,'Sales Data'!L:L)</f>
        <v>2159941.4500000002</v>
      </c>
    </row>
    <row r="23" spans="1:2" x14ac:dyDescent="0.25">
      <c r="A23" s="9" t="s">
        <v>64</v>
      </c>
      <c r="B23" s="13">
        <f>SUMIF('Sales Data'!G:G,A23,'Sales Data'!L:L)</f>
        <v>6637202.9999999991</v>
      </c>
    </row>
    <row r="24" spans="1:2" x14ac:dyDescent="0.25">
      <c r="A24" s="9" t="s">
        <v>41</v>
      </c>
      <c r="B24" s="13">
        <f>SUMIF('Sales Data'!G:G,A24,'Sales Data'!L:L)</f>
        <v>2315081.3499999992</v>
      </c>
    </row>
    <row r="25" spans="1:2" x14ac:dyDescent="0.25">
      <c r="A25" s="9" t="s">
        <v>86</v>
      </c>
      <c r="B25" s="13">
        <f>SUMIF('Sales Data'!G:G,A25,'Sales Data'!L:L)</f>
        <v>2368240.1</v>
      </c>
    </row>
    <row r="26" spans="1:2" x14ac:dyDescent="0.25">
      <c r="A26" s="9" t="s">
        <v>33</v>
      </c>
      <c r="B26" s="13">
        <f>SUMIF('Sales Data'!G:G,A26,'Sales Data'!L:L)</f>
        <v>821651.65</v>
      </c>
    </row>
    <row r="28" spans="1:2" x14ac:dyDescent="0.25">
      <c r="A28" s="12" t="s">
        <v>571</v>
      </c>
      <c r="B28" s="14" t="s">
        <v>564</v>
      </c>
    </row>
    <row r="29" spans="1:2" x14ac:dyDescent="0.25">
      <c r="A29" s="9" t="s">
        <v>572</v>
      </c>
      <c r="B29" s="13">
        <f>SUMIFS('Sales Data'!L:L,'Sales Data'!B:B,"&gt;="&amp;DATE(2025,ROW()-28,1),'Sales Data'!B:B,"&lt;"&amp;EDATE(DATE(2025,ROW()-28,1),1))</f>
        <v>2685340.0000000005</v>
      </c>
    </row>
    <row r="30" spans="1:2" x14ac:dyDescent="0.25">
      <c r="A30" s="9" t="s">
        <v>573</v>
      </c>
      <c r="B30" s="13">
        <f>SUMIFS('Sales Data'!L:L,'Sales Data'!B:B,"&gt;="&amp;DATE(2025,ROW()-28,1),'Sales Data'!B:B,"&lt;"&amp;EDATE(DATE(2025,ROW()-28,1),1))</f>
        <v>2744014.0999999996</v>
      </c>
    </row>
    <row r="31" spans="1:2" x14ac:dyDescent="0.25">
      <c r="A31" s="9" t="s">
        <v>574</v>
      </c>
      <c r="B31" s="13">
        <f>SUMIFS('Sales Data'!L:L,'Sales Data'!B:B,"&gt;="&amp;DATE(2025,ROW()-28,1),'Sales Data'!B:B,"&lt;"&amp;EDATE(DATE(2025,ROW()-28,1),1))</f>
        <v>2017815.7000000002</v>
      </c>
    </row>
    <row r="32" spans="1:2" x14ac:dyDescent="0.25">
      <c r="A32" s="9" t="s">
        <v>575</v>
      </c>
      <c r="B32" s="13">
        <f>SUMIFS('Sales Data'!L:L,'Sales Data'!B:B,"&gt;="&amp;DATE(2025,ROW()-28,1),'Sales Data'!B:B,"&lt;"&amp;EDATE(DATE(2025,ROW()-28,1),1))</f>
        <v>4682589.0000000009</v>
      </c>
    </row>
    <row r="33" spans="1:4" x14ac:dyDescent="0.25">
      <c r="A33" s="9" t="s">
        <v>576</v>
      </c>
      <c r="B33" s="13">
        <f>SUMIFS('Sales Data'!L:L,'Sales Data'!B:B,"&gt;="&amp;DATE(2025,ROW()-28,1),'Sales Data'!B:B,"&lt;"&amp;EDATE(DATE(2025,ROW()-28,1),1))</f>
        <v>3276481.8999999994</v>
      </c>
    </row>
    <row r="34" spans="1:4" x14ac:dyDescent="0.25">
      <c r="A34" s="9" t="s">
        <v>577</v>
      </c>
      <c r="B34" s="13">
        <f>SUMIFS('Sales Data'!L:L,'Sales Data'!B:B,"&gt;="&amp;DATE(2025,ROW()-28,1),'Sales Data'!B:B,"&lt;"&amp;EDATE(DATE(2025,ROW()-28,1),1))</f>
        <v>2174488.1999999997</v>
      </c>
    </row>
    <row r="35" spans="1:4" x14ac:dyDescent="0.25">
      <c r="A35" s="9" t="s">
        <v>578</v>
      </c>
      <c r="B35" s="13">
        <f>SUMIFS('Sales Data'!L:L,'Sales Data'!B:B,"&gt;="&amp;DATE(2025,ROW()-28,1),'Sales Data'!B:B,"&lt;"&amp;EDATE(DATE(2025,ROW()-28,1),1))</f>
        <v>3098100.7999999993</v>
      </c>
    </row>
    <row r="36" spans="1:4" x14ac:dyDescent="0.25">
      <c r="A36" s="9" t="s">
        <v>579</v>
      </c>
      <c r="B36" s="13">
        <f>SUMIFS('Sales Data'!L:L,'Sales Data'!B:B,"&gt;="&amp;DATE(2025,ROW()-28,1),'Sales Data'!B:B,"&lt;"&amp;EDATE(DATE(2025,ROW()-28,1),1))</f>
        <v>2921973.5999999996</v>
      </c>
    </row>
    <row r="37" spans="1:4" x14ac:dyDescent="0.25">
      <c r="A37" s="9" t="s">
        <v>580</v>
      </c>
      <c r="B37" s="13">
        <f>SUMIFS('Sales Data'!L:L,'Sales Data'!B:B,"&gt;="&amp;DATE(2025,ROW()-28,1),'Sales Data'!B:B,"&lt;"&amp;EDATE(DATE(2025,ROW()-28,1),1))</f>
        <v>2283264.0500000003</v>
      </c>
    </row>
    <row r="38" spans="1:4" x14ac:dyDescent="0.25">
      <c r="A38" s="9" t="s">
        <v>581</v>
      </c>
      <c r="B38" s="13">
        <f>SUMIFS('Sales Data'!L:L,'Sales Data'!B:B,"&gt;="&amp;DATE(2025,ROW()-28,1),'Sales Data'!B:B,"&lt;"&amp;EDATE(DATE(2025,ROW()-28,1),1))</f>
        <v>2971438.8499999996</v>
      </c>
    </row>
    <row r="39" spans="1:4" x14ac:dyDescent="0.25">
      <c r="A39" s="9" t="s">
        <v>582</v>
      </c>
      <c r="B39" s="13">
        <f>SUMIFS('Sales Data'!L:L,'Sales Data'!B:B,"&gt;="&amp;DATE(2025,ROW()-28,1),'Sales Data'!B:B,"&lt;"&amp;EDATE(DATE(2025,ROW()-28,1),1))</f>
        <v>3242403.1000000006</v>
      </c>
    </row>
    <row r="40" spans="1:4" x14ac:dyDescent="0.25">
      <c r="A40" s="9" t="s">
        <v>583</v>
      </c>
      <c r="B40" s="13">
        <f>SUMIFS('Sales Data'!L:L,'Sales Data'!B:B,"&gt;="&amp;DATE(2025,ROW()-28,1),'Sales Data'!B:B,"&lt;"&amp;EDATE(DATE(2025,ROW()-28,1),1))</f>
        <v>3766478.65</v>
      </c>
    </row>
    <row r="42" spans="1:4" x14ac:dyDescent="0.25">
      <c r="A42" s="12" t="s">
        <v>5</v>
      </c>
      <c r="B42" s="14" t="s">
        <v>564</v>
      </c>
    </row>
    <row r="43" spans="1:4" x14ac:dyDescent="0.25">
      <c r="A43" s="9" t="s">
        <v>32</v>
      </c>
      <c r="B43" s="13">
        <f>SUMIF('Sales Data'!F:F,A43,'Sales Data'!L:L)</f>
        <v>11132156.700000001</v>
      </c>
    </row>
    <row r="44" spans="1:4" x14ac:dyDescent="0.25">
      <c r="A44" s="9" t="s">
        <v>19</v>
      </c>
      <c r="B44" s="13">
        <f>SUMIF('Sales Data'!F:F,A44,'Sales Data'!L:L)</f>
        <v>12676094.549999997</v>
      </c>
    </row>
    <row r="45" spans="1:4" x14ac:dyDescent="0.25">
      <c r="A45" s="9" t="s">
        <v>26</v>
      </c>
      <c r="B45" s="13">
        <f>SUMIF('Sales Data'!F:F,A45,'Sales Data'!L:L)</f>
        <v>12056136.699999999</v>
      </c>
    </row>
    <row r="46" spans="1:4" ht="30" x14ac:dyDescent="0.25">
      <c r="A46" s="12" t="s">
        <v>6</v>
      </c>
      <c r="B46" s="14" t="s">
        <v>564</v>
      </c>
      <c r="C46" s="14" t="s">
        <v>565</v>
      </c>
      <c r="D46" s="14" t="s">
        <v>566</v>
      </c>
    </row>
    <row r="47" spans="1:4" x14ac:dyDescent="0.25">
      <c r="A47" s="9" t="s">
        <v>52</v>
      </c>
      <c r="B47" s="13">
        <f>SUMIF('Sales Data'!G:G,A47,'Sales Data'!L:L)</f>
        <v>16451575.600000001</v>
      </c>
      <c r="C47" s="13">
        <f>SUMIF('Sales Data'!G:G,A47,'Sales Data'!M:M)</f>
        <v>11822581.179999996</v>
      </c>
      <c r="D47" s="13">
        <f>SUMIF('Sales Data'!G:G,A47,'Sales Data'!N:N)</f>
        <v>4628994.4200000009</v>
      </c>
    </row>
    <row r="48" spans="1:4" x14ac:dyDescent="0.25">
      <c r="A48" s="9" t="s">
        <v>77</v>
      </c>
      <c r="B48" s="13">
        <f>SUMIF('Sales Data'!G:G,A48,'Sales Data'!L:L)</f>
        <v>3683965.7500000009</v>
      </c>
      <c r="C48" s="13">
        <f>SUMIF('Sales Data'!G:G,A48,'Sales Data'!M:M)</f>
        <v>2689539.9899999998</v>
      </c>
      <c r="D48" s="13">
        <f>SUMIF('Sales Data'!G:G,A48,'Sales Data'!N:N)</f>
        <v>994425.76000000024</v>
      </c>
    </row>
    <row r="49" spans="1:4" x14ac:dyDescent="0.25">
      <c r="A49" s="9" t="s">
        <v>20</v>
      </c>
      <c r="B49" s="13">
        <f>SUMIF('Sales Data'!G:G,A49,'Sales Data'!L:L)</f>
        <v>470972.45</v>
      </c>
      <c r="C49" s="13">
        <f>SUMIF('Sales Data'!G:G,A49,'Sales Data'!M:M)</f>
        <v>334778.72999999992</v>
      </c>
      <c r="D49" s="13">
        <f>SUMIF('Sales Data'!G:G,A49,'Sales Data'!N:N)</f>
        <v>136193.71999999997</v>
      </c>
    </row>
    <row r="50" spans="1:4" x14ac:dyDescent="0.25">
      <c r="A50" s="9" t="s">
        <v>82</v>
      </c>
      <c r="B50" s="13">
        <f>SUMIF('Sales Data'!G:G,A50,'Sales Data'!L:L)</f>
        <v>210985.29999999996</v>
      </c>
      <c r="C50" s="13">
        <f>SUMIF('Sales Data'!G:G,A50,'Sales Data'!M:M)</f>
        <v>150487.25999999998</v>
      </c>
      <c r="D50" s="13">
        <f>SUMIF('Sales Data'!G:G,A50,'Sales Data'!N:N)</f>
        <v>60498.040000000008</v>
      </c>
    </row>
    <row r="51" spans="1:4" x14ac:dyDescent="0.25">
      <c r="A51" s="9" t="s">
        <v>62</v>
      </c>
      <c r="B51" s="13">
        <f>SUMIF('Sales Data'!G:G,A51,'Sales Data'!L:L)</f>
        <v>744771.29999999993</v>
      </c>
      <c r="C51" s="13">
        <f>SUMIF('Sales Data'!G:G,A51,'Sales Data'!M:M)</f>
        <v>538559.96999999986</v>
      </c>
      <c r="D51" s="13">
        <f>SUMIF('Sales Data'!G:G,A51,'Sales Data'!N:N)</f>
        <v>206211.32999999993</v>
      </c>
    </row>
    <row r="52" spans="1:4" x14ac:dyDescent="0.25">
      <c r="A52" s="9" t="s">
        <v>107</v>
      </c>
      <c r="B52" s="13">
        <f>SUMIF('Sales Data'!G:G,A52,'Sales Data'!L:L)</f>
        <v>2159941.4500000002</v>
      </c>
      <c r="C52" s="13">
        <f>SUMIF('Sales Data'!G:G,A52,'Sales Data'!M:M)</f>
        <v>1549342.03</v>
      </c>
      <c r="D52" s="13">
        <f>SUMIF('Sales Data'!G:G,A52,'Sales Data'!N:N)</f>
        <v>610599.42000000004</v>
      </c>
    </row>
    <row r="53" spans="1:4" x14ac:dyDescent="0.25">
      <c r="A53" s="9" t="s">
        <v>64</v>
      </c>
      <c r="B53" s="13">
        <f>SUMIF('Sales Data'!G:G,A53,'Sales Data'!L:L)</f>
        <v>6637202.9999999991</v>
      </c>
      <c r="C53" s="13">
        <f>SUMIF('Sales Data'!G:G,A53,'Sales Data'!M:M)</f>
        <v>4689347.7399999993</v>
      </c>
      <c r="D53" s="13">
        <f>SUMIF('Sales Data'!G:G,A53,'Sales Data'!N:N)</f>
        <v>1947855.2599999995</v>
      </c>
    </row>
    <row r="54" spans="1:4" x14ac:dyDescent="0.25">
      <c r="A54" s="9" t="s">
        <v>41</v>
      </c>
      <c r="B54" s="13">
        <f>SUMIF('Sales Data'!G:G,A54,'Sales Data'!L:L)</f>
        <v>2315081.3499999992</v>
      </c>
      <c r="C54" s="13">
        <f>SUMIF('Sales Data'!G:G,A54,'Sales Data'!M:M)</f>
        <v>1654095.7499999998</v>
      </c>
      <c r="D54" s="13">
        <f>SUMIF('Sales Data'!G:G,A54,'Sales Data'!N:N)</f>
        <v>660985.59999999998</v>
      </c>
    </row>
    <row r="55" spans="1:4" x14ac:dyDescent="0.25">
      <c r="A55" s="9" t="s">
        <v>86</v>
      </c>
      <c r="B55" s="13">
        <f>SUMIF('Sales Data'!G:G,A55,'Sales Data'!L:L)</f>
        <v>2368240.1</v>
      </c>
      <c r="C55" s="13">
        <f>SUMIF('Sales Data'!G:G,A55,'Sales Data'!M:M)</f>
        <v>1669725.98</v>
      </c>
      <c r="D55" s="13">
        <f>SUMIF('Sales Data'!G:G,A55,'Sales Data'!N:N)</f>
        <v>698514.11999999976</v>
      </c>
    </row>
    <row r="56" spans="1:4" x14ac:dyDescent="0.25">
      <c r="A56" s="9" t="s">
        <v>33</v>
      </c>
      <c r="B56" s="13">
        <f>SUMIF('Sales Data'!G:G,A56,'Sales Data'!L:L)</f>
        <v>821651.65</v>
      </c>
      <c r="C56" s="13">
        <f>SUMIF('Sales Data'!G:G,A56,'Sales Data'!M:M)</f>
        <v>566541.31999999995</v>
      </c>
      <c r="D56" s="13">
        <f>SUMIF('Sales Data'!G:G,A56,'Sales Data'!N:N)</f>
        <v>255110.32999999996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Views>
    <sheetView showGridLines="0" tabSelected="1" topLeftCell="A31" zoomScale="90" zoomScaleNormal="90" workbookViewId="0">
      <selection activeCell="N5" sqref="N5"/>
    </sheetView>
  </sheetViews>
  <sheetFormatPr defaultRowHeight="15" x14ac:dyDescent="0.25"/>
  <cols>
    <col min="2" max="2" width="22.42578125" bestFit="1" customWidth="1"/>
    <col min="4" max="4" width="20.85546875" bestFit="1" customWidth="1"/>
    <col min="6" max="6" width="20.85546875" bestFit="1" customWidth="1"/>
    <col min="8" max="8" width="16.42578125" bestFit="1" customWidth="1"/>
    <col min="10" max="10" width="18" bestFit="1" customWidth="1"/>
    <col min="12" max="12" width="17.28515625" bestFit="1" customWidth="1"/>
  </cols>
  <sheetData>
    <row r="1" spans="1:13" ht="23.25" x14ac:dyDescent="0.35">
      <c r="A1" s="20" t="s">
        <v>586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23.25" x14ac:dyDescent="0.35">
      <c r="A2" s="20" t="s">
        <v>587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3" ht="23.25" x14ac:dyDescent="0.3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</row>
    <row r="4" spans="1:13" ht="19.5" x14ac:dyDescent="0.3">
      <c r="B4" s="15" t="s">
        <v>564</v>
      </c>
      <c r="D4" s="15" t="s">
        <v>565</v>
      </c>
      <c r="F4" s="15" t="s">
        <v>566</v>
      </c>
      <c r="H4" s="18" t="s">
        <v>567</v>
      </c>
      <c r="J4" s="15" t="s">
        <v>584</v>
      </c>
      <c r="L4" s="15" t="s">
        <v>585</v>
      </c>
    </row>
    <row r="5" spans="1:13" ht="19.5" x14ac:dyDescent="0.3">
      <c r="B5" s="16">
        <f>Analysis!B1</f>
        <v>35864387.950000003</v>
      </c>
      <c r="D5" s="17">
        <f>Analysis!B2</f>
        <v>25664999.950000007</v>
      </c>
      <c r="F5" s="17">
        <f>Analysis!B3</f>
        <v>10199388.000000004</v>
      </c>
      <c r="H5" s="18">
        <f>Analysis!B4</f>
        <v>500</v>
      </c>
      <c r="J5" s="18">
        <f>Analysis!B5</f>
        <v>2220</v>
      </c>
      <c r="L5" s="19">
        <f>Analysis!B7</f>
        <v>0.2843876219000136</v>
      </c>
    </row>
    <row r="6" spans="1:13" x14ac:dyDescent="0.25">
      <c r="L6" s="8"/>
    </row>
    <row r="36" spans="8:13" ht="18.75" x14ac:dyDescent="0.3">
      <c r="H36" s="21" t="s">
        <v>588</v>
      </c>
      <c r="I36" s="21"/>
      <c r="J36" s="21"/>
      <c r="K36" s="21"/>
      <c r="L36" s="21"/>
      <c r="M36" s="21"/>
    </row>
    <row r="37" spans="8:13" ht="18.75" customHeight="1" x14ac:dyDescent="0.25">
      <c r="H37" s="22" t="s">
        <v>589</v>
      </c>
      <c r="I37" s="22"/>
      <c r="J37" s="22"/>
      <c r="K37" s="22"/>
      <c r="L37" s="22"/>
      <c r="M37" s="22"/>
    </row>
    <row r="38" spans="8:13" ht="18.75" customHeight="1" x14ac:dyDescent="0.25">
      <c r="H38" s="22" t="s">
        <v>590</v>
      </c>
      <c r="I38" s="22"/>
      <c r="J38" s="22"/>
      <c r="K38" s="22"/>
      <c r="L38" s="22"/>
      <c r="M38" s="22"/>
    </row>
    <row r="39" spans="8:13" ht="18.75" customHeight="1" x14ac:dyDescent="0.25">
      <c r="H39" s="22" t="s">
        <v>591</v>
      </c>
      <c r="I39" s="22"/>
      <c r="J39" s="22"/>
      <c r="K39" s="22"/>
      <c r="L39" s="22"/>
      <c r="M39" s="22"/>
    </row>
    <row r="40" spans="8:13" ht="18.75" customHeight="1" x14ac:dyDescent="0.25">
      <c r="H40" s="22" t="s">
        <v>592</v>
      </c>
      <c r="I40" s="22"/>
      <c r="J40" s="22"/>
      <c r="K40" s="22"/>
      <c r="L40" s="22"/>
      <c r="M40" s="22"/>
    </row>
  </sheetData>
  <mergeCells count="7">
    <mergeCell ref="H38:M38"/>
    <mergeCell ref="H39:M39"/>
    <mergeCell ref="H40:M40"/>
    <mergeCell ref="A1:M1"/>
    <mergeCell ref="A2:L2"/>
    <mergeCell ref="H36:M36"/>
    <mergeCell ref="H37:M3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2026-09-07T11:37:58Z</dcterms:created>
  <dcterms:modified xsi:type="dcterms:W3CDTF">2026-09-07T13:13:27Z</dcterms:modified>
</cp:coreProperties>
</file>